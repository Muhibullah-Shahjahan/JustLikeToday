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uhib\OneDrive\Documents\02-CHIRAL\011 - CHIRAL Projects\UTI\Revision\"/>
    </mc:Choice>
  </mc:AlternateContent>
  <xr:revisionPtr revIDLastSave="0" documentId="13_ncr:1_{C20E8C3D-C3D9-4650-B23E-781C8B351D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3" i="1"/>
  <c r="F44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E38" i="1" l="1"/>
  <c r="F38" i="1" s="1"/>
  <c r="E41" i="1"/>
  <c r="F41" i="1" s="1"/>
  <c r="E40" i="1"/>
  <c r="F40" i="1" s="1"/>
  <c r="E39" i="1"/>
  <c r="F39" i="1" s="1"/>
</calcChain>
</file>

<file path=xl/sharedStrings.xml><?xml version="1.0" encoding="utf-8"?>
<sst xmlns="http://schemas.openxmlformats.org/spreadsheetml/2006/main" count="128" uniqueCount="69">
  <si>
    <t>Patient ID</t>
  </si>
  <si>
    <t>Age</t>
  </si>
  <si>
    <t>Sex</t>
  </si>
  <si>
    <t>Organism</t>
  </si>
  <si>
    <t>Amoxycillin</t>
  </si>
  <si>
    <t>Amphicilin</t>
  </si>
  <si>
    <t>Azithromycin</t>
  </si>
  <si>
    <t>Amoxyclav</t>
  </si>
  <si>
    <t>Amikacin</t>
  </si>
  <si>
    <t>Azactam</t>
  </si>
  <si>
    <t>Cefepime</t>
  </si>
  <si>
    <t>Cefotaxime</t>
  </si>
  <si>
    <t>Ceftrioaxone / Rocephin</t>
  </si>
  <si>
    <t>Chloramphenicol</t>
  </si>
  <si>
    <t>Cloxacillin</t>
  </si>
  <si>
    <t>Colistin</t>
  </si>
  <si>
    <t>Carbinicillin</t>
  </si>
  <si>
    <t>Cefixime</t>
  </si>
  <si>
    <t>Ceftazidime</t>
  </si>
  <si>
    <t>Cefuroxime</t>
  </si>
  <si>
    <t>Ciprofloxacin</t>
  </si>
  <si>
    <t>Cephradin</t>
  </si>
  <si>
    <t>Cotrimoxazole</t>
  </si>
  <si>
    <t>Clindamycin</t>
  </si>
  <si>
    <t>Doxycycline</t>
  </si>
  <si>
    <t>Doripenem</t>
  </si>
  <si>
    <t>Erythomycin</t>
  </si>
  <si>
    <t>Fusidic Acid</t>
  </si>
  <si>
    <t>Gentamicin</t>
  </si>
  <si>
    <t>Imipenem</t>
  </si>
  <si>
    <t>Levofloxacin</t>
  </si>
  <si>
    <t>Linezolid</t>
  </si>
  <si>
    <t>Meropenem</t>
  </si>
  <si>
    <t>Nalidexic Acid</t>
  </si>
  <si>
    <t>Norfloxacin</t>
  </si>
  <si>
    <t>Nitrofurantoin</t>
  </si>
  <si>
    <t>Penicillin-V</t>
  </si>
  <si>
    <t>Piperacillin / Tazobactam</t>
  </si>
  <si>
    <t>Tetracycline</t>
  </si>
  <si>
    <t>Tigecycline</t>
  </si>
  <si>
    <t>Tobramycin</t>
  </si>
  <si>
    <t>Ticarcillin</t>
  </si>
  <si>
    <t>Vancomycin</t>
  </si>
  <si>
    <t>Teicoplanin</t>
  </si>
  <si>
    <t>M59658</t>
  </si>
  <si>
    <t>Female</t>
  </si>
  <si>
    <t>Klebsiella spp.</t>
  </si>
  <si>
    <t>Esch. coli</t>
  </si>
  <si>
    <t>M10536</t>
  </si>
  <si>
    <t>Proteus spp.</t>
  </si>
  <si>
    <t>Enterococcus spp.</t>
  </si>
  <si>
    <t>M20588</t>
  </si>
  <si>
    <t>Male</t>
  </si>
  <si>
    <t>M17764</t>
  </si>
  <si>
    <t>M7678</t>
  </si>
  <si>
    <t>M9373</t>
  </si>
  <si>
    <t>M17739</t>
  </si>
  <si>
    <t>M23454</t>
  </si>
  <si>
    <t>M49733</t>
  </si>
  <si>
    <t>Streptococcus spp.</t>
  </si>
  <si>
    <t>M22093</t>
  </si>
  <si>
    <t>Pseudomonas spp.</t>
  </si>
  <si>
    <t>M12726</t>
  </si>
  <si>
    <t>M59458</t>
  </si>
  <si>
    <t>M42371</t>
  </si>
  <si>
    <t>M24694</t>
  </si>
  <si>
    <t>Acinetobacter spp.</t>
  </si>
  <si>
    <t>M59863</t>
  </si>
  <si>
    <t>MARI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</si>
</sst>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 applyAlignment="1">
      <alignment horizontal="left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7" borderId="1" xfId="0" applyFont="1" applyFill="1" applyBorder="1"/>
    <xf numFmtId="0" fontId="2" fillId="8" borderId="1" xfId="0" applyFont="1" applyFill="1" applyBorder="1"/>
    <xf numFmtId="0" fontId="2" fillId="12" borderId="1" xfId="0" applyFont="1" applyFill="1" applyBorder="1"/>
    <xf numFmtId="0" fontId="2" fillId="11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8F9FA"/>
          <bgColor rgb="FFF8F9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E0433-F429-44E1-9D4C-BFE6F2A0458D}" name="Table1" displayName="Table1" ref="A1:AS31" totalsRowShown="0" headerRowDxfId="45" dataDxfId="44">
  <autoFilter ref="A1:AS31" xr:uid="{F48E0433-F429-44E1-9D4C-BFE6F2A0458D}">
    <filterColumn colId="3">
      <filters>
        <filter val="Enterococcus spp."/>
      </filters>
    </filterColumn>
  </autoFilter>
  <tableColumns count="45">
    <tableColumn id="1" xr3:uid="{D7313207-2415-4DD9-B44E-1F6EBF35F609}" name="Patient ID" dataDxfId="43"/>
    <tableColumn id="2" xr3:uid="{6F4E1FD8-F8AE-417C-9F91-5816D60A8FDC}" name="Age" dataDxfId="42"/>
    <tableColumn id="3" xr3:uid="{5DD8E2C4-55BB-452E-9353-6B14B39B3E6E}" name="Sex" dataDxfId="41"/>
    <tableColumn id="4" xr3:uid="{EB445B4B-BA25-4538-BE59-A9B99AD899B6}" name="Organism"/>
    <tableColumn id="5" xr3:uid="{4AD8941A-0009-4887-9C1E-08D694BFCC80}" name="Amoxycillin" dataDxfId="40"/>
    <tableColumn id="6" xr3:uid="{1ACD42C2-72D5-4214-89E8-21108E9009B5}" name="Amphicilin" dataDxfId="39"/>
    <tableColumn id="7" xr3:uid="{A60CBD8C-AA45-43F9-9C17-49C00281F480}" name="Azithromycin" dataDxfId="38"/>
    <tableColumn id="8" xr3:uid="{DBDD60E4-C1DB-4396-BB0C-A9755616AB14}" name="Amoxyclav" dataDxfId="37"/>
    <tableColumn id="9" xr3:uid="{28397916-0A3B-465D-9C1D-ACFC92A1F551}" name="Amikacin" dataDxfId="36"/>
    <tableColumn id="10" xr3:uid="{862CC5EA-FFC1-4D21-8B8E-5DA489437AFA}" name="Azactam" dataDxfId="35"/>
    <tableColumn id="11" xr3:uid="{83CBF4D3-F32B-4C57-9A84-B5F581F6F9F4}" name="Cefepime" dataDxfId="34"/>
    <tableColumn id="12" xr3:uid="{205E68A0-59C9-47D1-9622-5081475999FA}" name="Cefotaxime" dataDxfId="33"/>
    <tableColumn id="13" xr3:uid="{D693659D-066F-4717-B5F7-F99420EBCB70}" name="Ceftrioaxone / Rocephin" dataDxfId="32"/>
    <tableColumn id="14" xr3:uid="{0C759114-E221-47BE-9CC4-2F7A74A014EE}" name="Chloramphenicol" dataDxfId="31"/>
    <tableColumn id="15" xr3:uid="{CCD59BFD-FD93-4CB3-92DD-12142F3A7360}" name="Cloxacillin" dataDxfId="30"/>
    <tableColumn id="16" xr3:uid="{2F4EF29E-A2B4-4619-BC35-27EAE49BB0DF}" name="Colistin" dataDxfId="29"/>
    <tableColumn id="17" xr3:uid="{E3D6E84A-9AD4-4262-8F4E-BA869DB70699}" name="Carbinicillin" dataDxfId="28"/>
    <tableColumn id="18" xr3:uid="{181DA3B1-58AF-45AE-A504-EDD1F1E98173}" name="Cefixime" dataDxfId="27"/>
    <tableColumn id="19" xr3:uid="{BBECFA05-9B07-4CC0-9F30-5EC77DC39186}" name="Ceftazidime" dataDxfId="26"/>
    <tableColumn id="20" xr3:uid="{E4C266C6-E4D9-4D3E-A98A-2D24D27726B3}" name="Cefuroxime" dataDxfId="25"/>
    <tableColumn id="21" xr3:uid="{05AC691A-F371-4168-91E0-2CCAC4B469BB}" name="Ciprofloxacin" dataDxfId="24"/>
    <tableColumn id="22" xr3:uid="{467DC938-472D-43C7-A480-B5D92D67498B}" name="Cephradin" dataDxfId="23"/>
    <tableColumn id="23" xr3:uid="{C71E0BD7-0C8F-4C3B-9A39-1B7D8FE4491C}" name="Cotrimoxazole" dataDxfId="22"/>
    <tableColumn id="24" xr3:uid="{72C24872-4733-4A3E-900F-B8EE5F28E72E}" name="Clindamycin" dataDxfId="21"/>
    <tableColumn id="25" xr3:uid="{175A8D6A-F7A1-4EC7-8473-00C8A90BC3CD}" name="Doxycycline" dataDxfId="20"/>
    <tableColumn id="26" xr3:uid="{EA718224-3102-4B7F-868D-1E5911DB01C4}" name="Doripenem" dataDxfId="19"/>
    <tableColumn id="27" xr3:uid="{C521B2AA-D2B0-4F16-9320-EEE0353F39B0}" name="Erythomycin" dataDxfId="18"/>
    <tableColumn id="28" xr3:uid="{43C535D9-A615-4761-9E94-C735684441F8}" name="Fusidic Acid" dataDxfId="17"/>
    <tableColumn id="29" xr3:uid="{484ACBF6-E143-4C67-AD66-935B622A52BF}" name="Gentamicin" dataDxfId="16"/>
    <tableColumn id="30" xr3:uid="{DED4E587-C2EF-4536-902A-80C09A2E2FE5}" name="Imipenem" dataDxfId="15"/>
    <tableColumn id="31" xr3:uid="{63A35EE6-525C-4931-B1FD-671C61238615}" name="Levofloxacin" dataDxfId="14"/>
    <tableColumn id="32" xr3:uid="{4A1FE06D-9CA9-4719-B714-253D372D5F37}" name="Linezolid" dataDxfId="13"/>
    <tableColumn id="33" xr3:uid="{B8C2FC39-F57D-43F3-B02D-51E82F83C2CE}" name="Meropenem" dataDxfId="12"/>
    <tableColumn id="34" xr3:uid="{C055C849-2DC9-4B0B-B466-E8B2F8147EBB}" name="Nalidexic Acid" dataDxfId="11"/>
    <tableColumn id="35" xr3:uid="{A6655F60-D7F0-40BD-8503-5E5E916E46C9}" name="Norfloxacin" dataDxfId="10"/>
    <tableColumn id="36" xr3:uid="{40CE46D4-4102-4767-A810-3D0AB57EC02E}" name="Nitrofurantoin" dataDxfId="9"/>
    <tableColumn id="37" xr3:uid="{1F96EA24-CD8D-46C9-8734-9A125433CE3F}" name="Penicillin-V" dataDxfId="8"/>
    <tableColumn id="38" xr3:uid="{FF109507-34BF-4E39-8DD2-00F5EF5102DB}" name="Piperacillin / Tazobactam" dataDxfId="7"/>
    <tableColumn id="39" xr3:uid="{0C721675-BC7E-4248-BC0F-E7D9C1E1EADD}" name="Tetracycline" dataDxfId="6"/>
    <tableColumn id="40" xr3:uid="{4061AC93-FA3C-46C0-A48E-161E1785363C}" name="Tigecycline" dataDxfId="5"/>
    <tableColumn id="41" xr3:uid="{8D359186-1854-40CD-B4B8-B572E092098C}" name="Tobramycin" dataDxfId="4"/>
    <tableColumn id="42" xr3:uid="{4501D817-DED3-488D-AC07-FB3FCDB53DBB}" name="Ticarcillin" dataDxfId="3"/>
    <tableColumn id="43" xr3:uid="{AA7FE98F-9F68-441C-AB36-6400C9CBF3F6}" name="Vancomycin" dataDxfId="2"/>
    <tableColumn id="44" xr3:uid="{4EDD0599-E7C8-46EC-A3E3-2D24BAFC9A18}" name="Teicoplanin" dataDxfId="1"/>
    <tableColumn id="45" xr3:uid="{F70DDCA8-7AF9-444E-B9B8-2D0C92C4CCB4}" name="MARI Value" dataDxfId="0">
      <calculatedColumnFormula xml:space="preserve"> SUM(Table1[[#This Row],[Amoxycillin]:[Teicoplanin]])/27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900"/>
  <sheetViews>
    <sheetView tabSelected="1" zoomScale="115" zoomScaleNormal="115" workbookViewId="0">
      <selection activeCell="AG1" activeCellId="12" sqref="G1 I1 L1 M1 R1 T1 U1 V1 W1 Y1 AC1 AE1 AG1"/>
    </sheetView>
  </sheetViews>
  <sheetFormatPr defaultColWidth="12.6640625" defaultRowHeight="15.75" customHeight="1" x14ac:dyDescent="0.25"/>
  <cols>
    <col min="4" max="4" width="16.77734375" customWidth="1"/>
    <col min="7" max="7" width="14.33203125" customWidth="1"/>
    <col min="13" max="13" width="25.44140625" customWidth="1"/>
    <col min="14" max="14" width="17.5546875" customWidth="1"/>
    <col min="17" max="17" width="13" customWidth="1"/>
    <col min="19" max="19" width="13" customWidth="1"/>
    <col min="20" max="20" width="12.77734375" customWidth="1"/>
    <col min="21" max="21" width="14.33203125" customWidth="1"/>
    <col min="23" max="23" width="15.44140625" customWidth="1"/>
    <col min="24" max="24" width="13.44140625" customWidth="1"/>
    <col min="25" max="25" width="13.33203125" customWidth="1"/>
    <col min="27" max="27" width="13.88671875" customWidth="1"/>
    <col min="28" max="28" width="13.44140625" customWidth="1"/>
    <col min="31" max="31" width="13.77734375" customWidth="1"/>
    <col min="33" max="33" width="13" customWidth="1"/>
    <col min="34" max="34" width="15" customWidth="1"/>
    <col min="35" max="35" width="12.77734375" customWidth="1"/>
    <col min="36" max="36" width="15.109375" customWidth="1"/>
    <col min="38" max="38" width="24.5546875" customWidth="1"/>
    <col min="39" max="39" width="13.44140625" customWidth="1"/>
    <col min="41" max="41" width="13.109375" customWidth="1"/>
    <col min="43" max="43" width="13.44140625" customWidth="1"/>
    <col min="44" max="44" width="12.77734375" customWidth="1"/>
  </cols>
  <sheetData>
    <row r="1" spans="1:45" ht="13.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68</v>
      </c>
    </row>
    <row r="2" spans="1:45" ht="13.2" hidden="1" x14ac:dyDescent="0.25">
      <c r="A2" s="3" t="s">
        <v>44</v>
      </c>
      <c r="B2" s="4">
        <v>43</v>
      </c>
      <c r="C2" s="3" t="s">
        <v>45</v>
      </c>
      <c r="D2" s="9" t="s">
        <v>46</v>
      </c>
      <c r="E2" s="3"/>
      <c r="F2" s="3"/>
      <c r="G2" s="7">
        <v>1</v>
      </c>
      <c r="H2" s="3">
        <v>0</v>
      </c>
      <c r="I2" s="3">
        <v>0</v>
      </c>
      <c r="J2" s="3"/>
      <c r="K2" s="3">
        <v>0</v>
      </c>
      <c r="L2" s="3">
        <v>0</v>
      </c>
      <c r="M2" s="3">
        <v>0</v>
      </c>
      <c r="N2" s="3"/>
      <c r="O2" s="3"/>
      <c r="P2" s="3">
        <v>0</v>
      </c>
      <c r="Q2" s="3"/>
      <c r="R2" s="3"/>
      <c r="S2" s="3">
        <v>0</v>
      </c>
      <c r="T2" s="3">
        <v>0</v>
      </c>
      <c r="U2" s="3">
        <v>0</v>
      </c>
      <c r="V2" s="3"/>
      <c r="W2" s="3">
        <v>0</v>
      </c>
      <c r="X2" s="3"/>
      <c r="Y2" s="3">
        <v>0</v>
      </c>
      <c r="Z2" s="5">
        <v>0</v>
      </c>
      <c r="AA2" s="3"/>
      <c r="AB2" s="3"/>
      <c r="AC2" s="5">
        <v>0</v>
      </c>
      <c r="AD2" s="3">
        <v>0</v>
      </c>
      <c r="AE2" s="5">
        <v>0</v>
      </c>
      <c r="AF2" s="3"/>
      <c r="AG2" s="3">
        <v>0</v>
      </c>
      <c r="AH2" s="5">
        <v>0</v>
      </c>
      <c r="AI2" s="3"/>
      <c r="AJ2" s="7">
        <v>1</v>
      </c>
      <c r="AK2" s="3"/>
      <c r="AL2" s="5">
        <v>0</v>
      </c>
      <c r="AM2" s="3"/>
      <c r="AN2" s="3">
        <v>0</v>
      </c>
      <c r="AO2" s="3"/>
      <c r="AP2" s="3"/>
      <c r="AQ2" s="3"/>
      <c r="AR2" s="3"/>
      <c r="AS2" s="3">
        <f xml:space="preserve"> SUM(Table1[[#This Row],[Amoxycillin]:[Teicoplanin]])/27</f>
        <v>7.407407407407407E-2</v>
      </c>
    </row>
    <row r="3" spans="1:45" ht="13.2" hidden="1" x14ac:dyDescent="0.25">
      <c r="A3" s="3"/>
      <c r="B3" s="4"/>
      <c r="C3" s="3"/>
      <c r="D3" s="10" t="s">
        <v>47</v>
      </c>
      <c r="E3" s="3"/>
      <c r="F3" s="3"/>
      <c r="G3" s="3">
        <v>0</v>
      </c>
      <c r="H3" s="3">
        <v>0</v>
      </c>
      <c r="I3" s="3">
        <v>0</v>
      </c>
      <c r="J3" s="3"/>
      <c r="K3" s="3">
        <v>0</v>
      </c>
      <c r="L3" s="3">
        <v>0</v>
      </c>
      <c r="M3" s="3">
        <v>0</v>
      </c>
      <c r="N3" s="3"/>
      <c r="O3" s="3"/>
      <c r="P3" s="3">
        <v>0</v>
      </c>
      <c r="Q3" s="3"/>
      <c r="R3" s="3"/>
      <c r="S3" s="3">
        <v>0</v>
      </c>
      <c r="T3" s="3">
        <v>0</v>
      </c>
      <c r="U3" s="3">
        <v>0</v>
      </c>
      <c r="V3" s="3"/>
      <c r="W3" s="8">
        <v>1</v>
      </c>
      <c r="X3" s="3"/>
      <c r="Y3" s="7">
        <v>1</v>
      </c>
      <c r="Z3" s="5">
        <v>0</v>
      </c>
      <c r="AA3" s="3"/>
      <c r="AB3" s="3"/>
      <c r="AC3" s="5">
        <v>0</v>
      </c>
      <c r="AD3" s="3">
        <v>0</v>
      </c>
      <c r="AE3" s="5">
        <v>0</v>
      </c>
      <c r="AF3" s="3"/>
      <c r="AG3" s="3">
        <v>0</v>
      </c>
      <c r="AH3" s="5">
        <v>0</v>
      </c>
      <c r="AI3" s="3"/>
      <c r="AJ3" s="3">
        <v>0</v>
      </c>
      <c r="AK3" s="3"/>
      <c r="AL3" s="5">
        <v>0</v>
      </c>
      <c r="AM3" s="3"/>
      <c r="AN3" s="3">
        <v>0</v>
      </c>
      <c r="AO3" s="3"/>
      <c r="AP3" s="3"/>
      <c r="AQ3" s="3"/>
      <c r="AR3" s="3"/>
      <c r="AS3" s="3">
        <f xml:space="preserve"> SUM(Table1[[#This Row],[Amoxycillin]:[Teicoplanin]])/27</f>
        <v>7.407407407407407E-2</v>
      </c>
    </row>
    <row r="4" spans="1:45" ht="13.2" hidden="1" x14ac:dyDescent="0.25">
      <c r="A4" s="3" t="s">
        <v>48</v>
      </c>
      <c r="B4" s="4">
        <v>56</v>
      </c>
      <c r="C4" s="3" t="s">
        <v>45</v>
      </c>
      <c r="D4" s="14" t="s">
        <v>49</v>
      </c>
      <c r="E4" s="3"/>
      <c r="F4" s="3"/>
      <c r="G4" s="7">
        <v>1</v>
      </c>
      <c r="H4" s="3">
        <v>0</v>
      </c>
      <c r="I4" s="3">
        <v>0</v>
      </c>
      <c r="J4" s="3"/>
      <c r="K4" s="3">
        <v>0</v>
      </c>
      <c r="L4" s="3"/>
      <c r="M4" s="3">
        <v>0</v>
      </c>
      <c r="N4" s="3"/>
      <c r="O4" s="3"/>
      <c r="P4" s="7">
        <v>1</v>
      </c>
      <c r="Q4" s="3"/>
      <c r="R4" s="3">
        <v>0</v>
      </c>
      <c r="S4" s="7">
        <v>1</v>
      </c>
      <c r="T4" s="3">
        <v>0</v>
      </c>
      <c r="U4" s="3">
        <v>0</v>
      </c>
      <c r="V4" s="3"/>
      <c r="W4" s="7">
        <v>1</v>
      </c>
      <c r="X4" s="3"/>
      <c r="Y4" s="7">
        <v>1</v>
      </c>
      <c r="Z4" s="3">
        <v>0</v>
      </c>
      <c r="AA4" s="3"/>
      <c r="AB4" s="3"/>
      <c r="AC4" s="3">
        <v>0</v>
      </c>
      <c r="AD4" s="3">
        <v>0</v>
      </c>
      <c r="AE4" s="7">
        <v>1</v>
      </c>
      <c r="AF4" s="3"/>
      <c r="AG4" s="3">
        <v>0</v>
      </c>
      <c r="AH4" s="7">
        <v>1</v>
      </c>
      <c r="AI4" s="3"/>
      <c r="AJ4" s="7">
        <v>1</v>
      </c>
      <c r="AK4" s="3"/>
      <c r="AL4" s="3">
        <v>0</v>
      </c>
      <c r="AM4" s="3"/>
      <c r="AN4" s="3">
        <v>0</v>
      </c>
      <c r="AO4" s="3"/>
      <c r="AP4" s="3"/>
      <c r="AQ4" s="3">
        <v>0</v>
      </c>
      <c r="AR4" s="3"/>
      <c r="AS4" s="3">
        <f xml:space="preserve"> SUM(Table1[[#This Row],[Amoxycillin]:[Teicoplanin]])/27</f>
        <v>0.29629629629629628</v>
      </c>
    </row>
    <row r="5" spans="1:45" ht="13.2" x14ac:dyDescent="0.25">
      <c r="A5" s="3"/>
      <c r="B5" s="4"/>
      <c r="C5" s="3"/>
      <c r="D5" s="13" t="s">
        <v>50</v>
      </c>
      <c r="E5" s="3"/>
      <c r="F5" s="3"/>
      <c r="G5" s="3">
        <v>0</v>
      </c>
      <c r="H5" s="3">
        <v>0</v>
      </c>
      <c r="I5" s="7">
        <v>1</v>
      </c>
      <c r="J5" s="3"/>
      <c r="K5" s="3">
        <v>0</v>
      </c>
      <c r="L5" s="3"/>
      <c r="M5" s="3">
        <v>0</v>
      </c>
      <c r="N5" s="3"/>
      <c r="O5" s="3"/>
      <c r="P5" s="3"/>
      <c r="Q5" s="3"/>
      <c r="R5" s="3">
        <v>0</v>
      </c>
      <c r="S5" s="3">
        <v>0</v>
      </c>
      <c r="T5" s="3">
        <v>0</v>
      </c>
      <c r="U5" s="3">
        <v>0</v>
      </c>
      <c r="V5" s="3"/>
      <c r="W5" s="7">
        <v>1</v>
      </c>
      <c r="X5" s="3">
        <v>0</v>
      </c>
      <c r="Y5" s="3">
        <v>0</v>
      </c>
      <c r="AA5" s="3"/>
      <c r="AB5" s="3"/>
      <c r="AC5" s="3">
        <v>0</v>
      </c>
      <c r="AD5" s="3"/>
      <c r="AE5" s="3">
        <v>0</v>
      </c>
      <c r="AF5" s="3">
        <v>0</v>
      </c>
      <c r="AG5" s="3">
        <v>0</v>
      </c>
      <c r="AH5" s="3"/>
      <c r="AI5" s="3"/>
      <c r="AJ5" s="3">
        <v>0</v>
      </c>
      <c r="AK5" s="3"/>
      <c r="AL5" s="3">
        <v>0</v>
      </c>
      <c r="AM5" s="3"/>
      <c r="AN5" s="3">
        <v>0</v>
      </c>
      <c r="AO5" s="3"/>
      <c r="AP5" s="3"/>
      <c r="AQ5" s="3"/>
      <c r="AR5" s="3"/>
      <c r="AS5" s="3">
        <f xml:space="preserve"> SUM(Table1[[#This Row],[Amoxycillin]:[Teicoplanin]])/27</f>
        <v>7.407407407407407E-2</v>
      </c>
    </row>
    <row r="6" spans="1:45" ht="13.2" hidden="1" x14ac:dyDescent="0.25">
      <c r="A6" s="6" t="s">
        <v>51</v>
      </c>
      <c r="B6" s="4">
        <v>75</v>
      </c>
      <c r="C6" s="3" t="s">
        <v>52</v>
      </c>
      <c r="D6" s="10" t="s">
        <v>47</v>
      </c>
      <c r="E6" s="3"/>
      <c r="F6" s="3"/>
      <c r="G6" s="7">
        <v>1</v>
      </c>
      <c r="H6" s="7">
        <v>1</v>
      </c>
      <c r="I6" s="3">
        <v>0</v>
      </c>
      <c r="J6" s="3"/>
      <c r="K6" s="3">
        <v>0</v>
      </c>
      <c r="L6" s="3"/>
      <c r="M6" s="7">
        <v>1</v>
      </c>
      <c r="N6" s="3"/>
      <c r="O6" s="3"/>
      <c r="P6" s="3">
        <v>0</v>
      </c>
      <c r="Q6" s="3"/>
      <c r="R6" s="7">
        <v>1</v>
      </c>
      <c r="S6" s="7">
        <v>1</v>
      </c>
      <c r="T6" s="7">
        <v>1</v>
      </c>
      <c r="U6" s="7">
        <v>1</v>
      </c>
      <c r="V6" s="3"/>
      <c r="W6" s="3">
        <v>0</v>
      </c>
      <c r="X6" s="3"/>
      <c r="Y6" s="7">
        <v>1</v>
      </c>
      <c r="Z6" s="3">
        <v>0</v>
      </c>
      <c r="AA6" s="3"/>
      <c r="AB6" s="3"/>
      <c r="AC6" s="3">
        <v>0</v>
      </c>
      <c r="AD6" s="3">
        <v>0</v>
      </c>
      <c r="AE6" s="7">
        <v>1</v>
      </c>
      <c r="AF6" s="3"/>
      <c r="AG6" s="3">
        <v>0</v>
      </c>
      <c r="AH6" s="7">
        <v>1</v>
      </c>
      <c r="AI6" s="3"/>
      <c r="AJ6" s="3">
        <v>0</v>
      </c>
      <c r="AK6" s="3"/>
      <c r="AL6" s="7">
        <v>1</v>
      </c>
      <c r="AM6" s="3"/>
      <c r="AN6" s="3">
        <v>0</v>
      </c>
      <c r="AO6" s="3"/>
      <c r="AP6" s="3"/>
      <c r="AQ6" s="3"/>
      <c r="AR6" s="3"/>
      <c r="AS6" s="3">
        <f xml:space="preserve"> SUM(Table1[[#This Row],[Amoxycillin]:[Teicoplanin]])/27</f>
        <v>0.40740740740740738</v>
      </c>
    </row>
    <row r="7" spans="1:45" ht="13.2" x14ac:dyDescent="0.25">
      <c r="A7" s="6"/>
      <c r="B7" s="4"/>
      <c r="C7" s="3"/>
      <c r="D7" s="13" t="s">
        <v>50</v>
      </c>
      <c r="E7" s="3">
        <v>0</v>
      </c>
      <c r="F7" s="3"/>
      <c r="G7" s="7">
        <v>1</v>
      </c>
      <c r="H7" s="7">
        <v>1</v>
      </c>
      <c r="I7" s="7">
        <v>1</v>
      </c>
      <c r="J7" s="3"/>
      <c r="K7" s="3"/>
      <c r="L7" s="7">
        <v>1</v>
      </c>
      <c r="M7" s="7">
        <v>1</v>
      </c>
      <c r="N7" s="3"/>
      <c r="O7" s="3"/>
      <c r="Q7" s="3"/>
      <c r="R7" s="7">
        <v>1</v>
      </c>
      <c r="S7" s="3"/>
      <c r="T7" s="7">
        <v>1</v>
      </c>
      <c r="U7" s="7">
        <v>1</v>
      </c>
      <c r="V7" s="7">
        <v>1</v>
      </c>
      <c r="W7" s="3">
        <v>0</v>
      </c>
      <c r="X7" s="7">
        <v>1</v>
      </c>
      <c r="Y7" s="7">
        <v>1</v>
      </c>
      <c r="Z7" s="3"/>
      <c r="AA7" s="3"/>
      <c r="AB7" s="3"/>
      <c r="AC7" s="7">
        <v>1</v>
      </c>
      <c r="AD7" s="3"/>
      <c r="AE7" s="7">
        <v>1</v>
      </c>
      <c r="AF7" s="3">
        <v>0</v>
      </c>
      <c r="AG7" s="7">
        <v>1</v>
      </c>
      <c r="AH7" s="3"/>
      <c r="AI7" s="3"/>
      <c r="AJ7" s="3">
        <v>0</v>
      </c>
      <c r="AK7" s="3"/>
      <c r="AL7" s="3">
        <v>0</v>
      </c>
      <c r="AM7" s="3"/>
      <c r="AN7" s="3">
        <v>0</v>
      </c>
      <c r="AO7" s="3"/>
      <c r="AP7" s="3"/>
      <c r="AQ7" s="3">
        <v>0</v>
      </c>
      <c r="AR7" s="3"/>
      <c r="AS7" s="3">
        <f xml:space="preserve"> SUM(Table1[[#This Row],[Amoxycillin]:[Teicoplanin]])/27</f>
        <v>0.51851851851851849</v>
      </c>
    </row>
    <row r="8" spans="1:45" ht="13.2" hidden="1" x14ac:dyDescent="0.25">
      <c r="A8" s="6" t="s">
        <v>53</v>
      </c>
      <c r="B8" s="4">
        <v>73</v>
      </c>
      <c r="C8" s="3" t="s">
        <v>45</v>
      </c>
      <c r="D8" s="10" t="s">
        <v>47</v>
      </c>
      <c r="E8" s="3"/>
      <c r="F8" s="3"/>
      <c r="G8" s="7">
        <v>1</v>
      </c>
      <c r="H8" s="3">
        <v>0</v>
      </c>
      <c r="I8" s="3">
        <v>0</v>
      </c>
      <c r="J8" s="3"/>
      <c r="K8" s="3"/>
      <c r="L8" s="3"/>
      <c r="M8" s="3">
        <v>0</v>
      </c>
      <c r="N8" s="3"/>
      <c r="O8" s="3"/>
      <c r="P8" s="3">
        <v>0</v>
      </c>
      <c r="Q8" s="3"/>
      <c r="R8" s="3">
        <v>0</v>
      </c>
      <c r="S8" s="3">
        <v>0</v>
      </c>
      <c r="T8" s="3">
        <v>0</v>
      </c>
      <c r="U8" s="3">
        <v>0</v>
      </c>
      <c r="V8" s="3"/>
      <c r="W8" s="3">
        <v>0</v>
      </c>
      <c r="X8" s="3"/>
      <c r="Y8" s="7">
        <v>1</v>
      </c>
      <c r="Z8" s="3">
        <v>0</v>
      </c>
      <c r="AA8" s="3"/>
      <c r="AB8" s="3"/>
      <c r="AC8" s="3">
        <v>0</v>
      </c>
      <c r="AD8" s="3">
        <v>0</v>
      </c>
      <c r="AE8" s="3">
        <v>0</v>
      </c>
      <c r="AF8" s="3"/>
      <c r="AG8" s="3">
        <v>0</v>
      </c>
      <c r="AH8" s="7">
        <v>1</v>
      </c>
      <c r="AI8" s="3"/>
      <c r="AJ8" s="3">
        <v>0</v>
      </c>
      <c r="AK8" s="3"/>
      <c r="AL8" s="3">
        <v>0</v>
      </c>
      <c r="AM8" s="3"/>
      <c r="AN8" s="3">
        <v>0</v>
      </c>
      <c r="AO8" s="3"/>
      <c r="AP8" s="7">
        <v>1</v>
      </c>
      <c r="AQ8" s="3"/>
      <c r="AR8" s="3"/>
      <c r="AS8" s="3">
        <f xml:space="preserve"> SUM(Table1[[#This Row],[Amoxycillin]:[Teicoplanin]])/27</f>
        <v>0.14814814814814814</v>
      </c>
    </row>
    <row r="9" spans="1:45" ht="13.2" hidden="1" x14ac:dyDescent="0.25">
      <c r="A9" s="6"/>
      <c r="B9" s="4"/>
      <c r="C9" s="3"/>
      <c r="D9" s="14" t="s">
        <v>49</v>
      </c>
      <c r="E9" s="3"/>
      <c r="F9" s="3"/>
      <c r="G9" s="7">
        <v>1</v>
      </c>
      <c r="H9" s="7">
        <v>1</v>
      </c>
      <c r="I9" s="3">
        <v>0</v>
      </c>
      <c r="J9" s="3"/>
      <c r="K9" s="3"/>
      <c r="L9" s="3"/>
      <c r="M9" s="3">
        <v>0</v>
      </c>
      <c r="N9" s="3"/>
      <c r="O9" s="3"/>
      <c r="P9" s="3">
        <v>0</v>
      </c>
      <c r="Q9" s="3"/>
      <c r="R9" s="7">
        <v>1</v>
      </c>
      <c r="S9" s="3">
        <v>0</v>
      </c>
      <c r="T9" s="7">
        <v>1</v>
      </c>
      <c r="U9" s="7">
        <v>1</v>
      </c>
      <c r="V9" s="3"/>
      <c r="W9" s="3">
        <v>0</v>
      </c>
      <c r="X9" s="3"/>
      <c r="Y9" s="7">
        <v>1</v>
      </c>
      <c r="Z9" s="3">
        <v>0</v>
      </c>
      <c r="AA9" s="3"/>
      <c r="AB9" s="3"/>
      <c r="AC9" s="3">
        <v>0</v>
      </c>
      <c r="AD9" s="3">
        <v>0</v>
      </c>
      <c r="AE9" s="7">
        <v>1</v>
      </c>
      <c r="AF9" s="3"/>
      <c r="AG9" s="3">
        <v>0</v>
      </c>
      <c r="AH9" s="7">
        <v>1</v>
      </c>
      <c r="AI9" s="3"/>
      <c r="AJ9" s="7">
        <v>1</v>
      </c>
      <c r="AK9" s="3"/>
      <c r="AL9" s="3">
        <v>0</v>
      </c>
      <c r="AM9" s="3"/>
      <c r="AN9" s="7">
        <v>1</v>
      </c>
      <c r="AO9" s="3"/>
      <c r="AP9" s="7">
        <v>1</v>
      </c>
      <c r="AQ9" s="3"/>
      <c r="AR9" s="3"/>
      <c r="AS9" s="3">
        <f xml:space="preserve"> SUM(Table1[[#This Row],[Amoxycillin]:[Teicoplanin]])/27</f>
        <v>0.40740740740740738</v>
      </c>
    </row>
    <row r="10" spans="1:45" ht="13.2" hidden="1" x14ac:dyDescent="0.25">
      <c r="A10" s="6" t="s">
        <v>54</v>
      </c>
      <c r="B10" s="4">
        <v>60</v>
      </c>
      <c r="C10" s="3" t="s">
        <v>45</v>
      </c>
      <c r="D10" s="10" t="s">
        <v>47</v>
      </c>
      <c r="E10" s="3"/>
      <c r="F10" s="3"/>
      <c r="G10" s="7">
        <v>1</v>
      </c>
      <c r="H10" s="7">
        <v>1</v>
      </c>
      <c r="I10" s="3">
        <v>0</v>
      </c>
      <c r="J10" s="3"/>
      <c r="K10" s="3">
        <v>0</v>
      </c>
      <c r="L10" s="3"/>
      <c r="M10" s="3">
        <v>0</v>
      </c>
      <c r="N10" s="3"/>
      <c r="O10" s="3"/>
      <c r="P10" s="3">
        <v>0</v>
      </c>
      <c r="Q10" s="3"/>
      <c r="R10" s="7">
        <v>1</v>
      </c>
      <c r="S10" s="3">
        <v>0</v>
      </c>
      <c r="T10" s="3">
        <v>0</v>
      </c>
      <c r="U10" s="3">
        <v>0</v>
      </c>
      <c r="V10" s="3"/>
      <c r="W10" s="7">
        <v>1</v>
      </c>
      <c r="X10" s="3"/>
      <c r="Y10" s="7">
        <v>1</v>
      </c>
      <c r="Z10" s="3">
        <v>0</v>
      </c>
      <c r="AA10" s="3"/>
      <c r="AB10" s="3"/>
      <c r="AC10" s="3">
        <v>0</v>
      </c>
      <c r="AD10" s="3">
        <v>0</v>
      </c>
      <c r="AE10" s="3">
        <v>0</v>
      </c>
      <c r="AF10" s="3"/>
      <c r="AG10" s="3">
        <v>0</v>
      </c>
      <c r="AH10" s="7">
        <v>1</v>
      </c>
      <c r="AI10" s="3"/>
      <c r="AJ10" s="3">
        <v>0</v>
      </c>
      <c r="AK10" s="3"/>
      <c r="AL10" s="3">
        <v>0</v>
      </c>
      <c r="AM10" s="3"/>
      <c r="AN10" s="3">
        <v>0</v>
      </c>
      <c r="AO10" s="3"/>
      <c r="AQ10" s="3"/>
      <c r="AR10" s="3"/>
      <c r="AS10" s="3">
        <f xml:space="preserve"> SUM(Table1[[#This Row],[Amoxycillin]:[Teicoplanin]])/27</f>
        <v>0.22222222222222221</v>
      </c>
    </row>
    <row r="11" spans="1:45" ht="13.2" hidden="1" x14ac:dyDescent="0.25">
      <c r="A11" s="6"/>
      <c r="B11" s="4"/>
      <c r="C11" s="3"/>
      <c r="D11" s="14" t="s">
        <v>49</v>
      </c>
      <c r="E11" s="3"/>
      <c r="F11" s="3"/>
      <c r="G11" s="7">
        <v>1</v>
      </c>
      <c r="H11" s="3">
        <v>0</v>
      </c>
      <c r="I11" s="3">
        <v>0</v>
      </c>
      <c r="J11" s="3"/>
      <c r="K11" s="3">
        <v>0</v>
      </c>
      <c r="L11" s="3"/>
      <c r="M11" s="3">
        <v>0</v>
      </c>
      <c r="N11" s="3"/>
      <c r="O11" s="3"/>
      <c r="P11" s="3">
        <v>0</v>
      </c>
      <c r="Q11" s="3"/>
      <c r="R11" s="3">
        <v>0</v>
      </c>
      <c r="S11" s="3">
        <v>0</v>
      </c>
      <c r="T11" s="3">
        <v>0</v>
      </c>
      <c r="U11" s="3">
        <v>0</v>
      </c>
      <c r="V11" s="3"/>
      <c r="W11" s="3">
        <v>0</v>
      </c>
      <c r="X11" s="3"/>
      <c r="Y11" s="3">
        <v>0</v>
      </c>
      <c r="Z11" s="3">
        <v>0</v>
      </c>
      <c r="AA11" s="3"/>
      <c r="AB11" s="3"/>
      <c r="AC11" s="3">
        <v>0</v>
      </c>
      <c r="AD11" s="3">
        <v>0</v>
      </c>
      <c r="AE11" s="3">
        <v>0</v>
      </c>
      <c r="AF11" s="3"/>
      <c r="AG11" s="3">
        <v>0</v>
      </c>
      <c r="AH11" s="7">
        <v>1</v>
      </c>
      <c r="AI11" s="3"/>
      <c r="AJ11" s="3">
        <v>0</v>
      </c>
      <c r="AK11" s="3"/>
      <c r="AL11" s="3">
        <v>0</v>
      </c>
      <c r="AM11" s="3"/>
      <c r="AN11" s="3">
        <v>0</v>
      </c>
      <c r="AO11" s="3"/>
      <c r="AP11" s="3"/>
      <c r="AQ11" s="3"/>
      <c r="AR11" s="3"/>
      <c r="AS11" s="3">
        <f xml:space="preserve"> SUM(Table1[[#This Row],[Amoxycillin]:[Teicoplanin]])/27</f>
        <v>7.407407407407407E-2</v>
      </c>
    </row>
    <row r="12" spans="1:45" ht="13.2" hidden="1" x14ac:dyDescent="0.25">
      <c r="A12" s="6" t="s">
        <v>55</v>
      </c>
      <c r="B12" s="4">
        <v>93</v>
      </c>
      <c r="C12" s="3" t="s">
        <v>45</v>
      </c>
      <c r="D12" s="9" t="s">
        <v>46</v>
      </c>
      <c r="E12" s="3"/>
      <c r="F12" s="3"/>
      <c r="G12" s="7">
        <v>1</v>
      </c>
      <c r="H12" s="3">
        <v>0</v>
      </c>
      <c r="I12" s="3">
        <v>0</v>
      </c>
      <c r="J12" s="3"/>
      <c r="K12" s="3">
        <v>0</v>
      </c>
      <c r="L12" s="7">
        <v>1</v>
      </c>
      <c r="M12" s="3">
        <v>0</v>
      </c>
      <c r="N12" s="3"/>
      <c r="O12" s="3"/>
      <c r="P12" s="3">
        <v>0</v>
      </c>
      <c r="Q12" s="3"/>
      <c r="R12" s="3">
        <v>0</v>
      </c>
      <c r="S12" s="3">
        <v>0</v>
      </c>
      <c r="T12" s="3">
        <v>0</v>
      </c>
      <c r="U12" s="7">
        <v>1</v>
      </c>
      <c r="V12" s="3"/>
      <c r="W12" s="7">
        <v>1</v>
      </c>
      <c r="X12" s="3"/>
      <c r="Y12" s="7">
        <v>1</v>
      </c>
      <c r="Z12" s="3">
        <v>0</v>
      </c>
      <c r="AA12" s="3"/>
      <c r="AB12" s="3"/>
      <c r="AC12" s="3">
        <v>0</v>
      </c>
      <c r="AD12" s="3">
        <v>0</v>
      </c>
      <c r="AE12" s="7">
        <v>1</v>
      </c>
      <c r="AF12" s="3"/>
      <c r="AG12" s="3">
        <v>0</v>
      </c>
      <c r="AH12" s="7">
        <v>1</v>
      </c>
      <c r="AI12" s="3"/>
      <c r="AJ12" s="3">
        <v>0</v>
      </c>
      <c r="AK12" s="3"/>
      <c r="AL12" s="3">
        <v>0</v>
      </c>
      <c r="AM12" s="3"/>
      <c r="AN12" s="3">
        <v>0</v>
      </c>
      <c r="AO12" s="3"/>
      <c r="AP12" s="3"/>
      <c r="AQ12" s="3"/>
      <c r="AR12" s="3"/>
      <c r="AS12" s="3">
        <f xml:space="preserve"> SUM(Table1[[#This Row],[Amoxycillin]:[Teicoplanin]])/27</f>
        <v>0.25925925925925924</v>
      </c>
    </row>
    <row r="13" spans="1:45" ht="13.2" hidden="1" x14ac:dyDescent="0.25">
      <c r="A13" s="6"/>
      <c r="B13" s="4"/>
      <c r="C13" s="3"/>
      <c r="D13" s="10" t="s">
        <v>47</v>
      </c>
      <c r="E13" s="3"/>
      <c r="F13" s="3"/>
      <c r="G13" s="7">
        <v>1</v>
      </c>
      <c r="H13" s="7">
        <v>1</v>
      </c>
      <c r="I13" s="3">
        <v>0</v>
      </c>
      <c r="J13" s="3"/>
      <c r="K13" s="7">
        <v>1</v>
      </c>
      <c r="L13" s="7">
        <v>1</v>
      </c>
      <c r="M13" s="7">
        <v>1</v>
      </c>
      <c r="N13" s="3"/>
      <c r="O13" s="3"/>
      <c r="P13" s="7">
        <v>1</v>
      </c>
      <c r="Q13" s="3"/>
      <c r="R13" s="7">
        <v>1</v>
      </c>
      <c r="S13" s="7">
        <v>1</v>
      </c>
      <c r="T13" s="7">
        <v>1</v>
      </c>
      <c r="U13" s="7">
        <v>1</v>
      </c>
      <c r="V13" s="3"/>
      <c r="W13" s="7">
        <v>1</v>
      </c>
      <c r="X13" s="3"/>
      <c r="Y13" s="7">
        <v>1</v>
      </c>
      <c r="Z13" s="3">
        <v>0</v>
      </c>
      <c r="AA13" s="3"/>
      <c r="AB13" s="3"/>
      <c r="AC13" s="7">
        <v>1</v>
      </c>
      <c r="AD13" s="3">
        <v>0</v>
      </c>
      <c r="AE13" s="7">
        <v>1</v>
      </c>
      <c r="AF13" s="3"/>
      <c r="AG13" s="3">
        <v>0</v>
      </c>
      <c r="AH13" s="7">
        <v>1</v>
      </c>
      <c r="AI13" s="3"/>
      <c r="AJ13" s="7">
        <v>1</v>
      </c>
      <c r="AK13" s="3"/>
      <c r="AL13" s="3">
        <v>0</v>
      </c>
      <c r="AM13" s="3"/>
      <c r="AN13" s="3">
        <v>0</v>
      </c>
      <c r="AO13" s="3"/>
      <c r="AP13" s="3"/>
      <c r="AQ13" s="3"/>
      <c r="AR13" s="3"/>
      <c r="AS13" s="3">
        <f xml:space="preserve"> SUM(Table1[[#This Row],[Amoxycillin]:[Teicoplanin]])/27</f>
        <v>0.59259259259259256</v>
      </c>
    </row>
    <row r="14" spans="1:45" ht="13.2" hidden="1" x14ac:dyDescent="0.25">
      <c r="A14" s="6" t="s">
        <v>56</v>
      </c>
      <c r="B14" s="4">
        <v>55</v>
      </c>
      <c r="C14" s="3" t="s">
        <v>45</v>
      </c>
      <c r="D14" s="10" t="s">
        <v>47</v>
      </c>
      <c r="E14" s="3"/>
      <c r="F14" s="3"/>
      <c r="G14" s="7">
        <v>1</v>
      </c>
      <c r="H14" s="7">
        <v>1</v>
      </c>
      <c r="I14" s="3">
        <v>0</v>
      </c>
      <c r="J14" s="3"/>
      <c r="K14" s="7">
        <v>1</v>
      </c>
      <c r="L14" s="3"/>
      <c r="M14" s="7">
        <v>1</v>
      </c>
      <c r="N14" s="3"/>
      <c r="O14" s="3"/>
      <c r="P14" s="3">
        <v>0</v>
      </c>
      <c r="Q14" s="3"/>
      <c r="R14" s="7">
        <v>1</v>
      </c>
      <c r="S14" s="7">
        <v>1</v>
      </c>
      <c r="T14" s="7">
        <v>1</v>
      </c>
      <c r="U14" s="3">
        <v>0</v>
      </c>
      <c r="V14" s="3"/>
      <c r="W14" s="7">
        <v>1</v>
      </c>
      <c r="X14" s="3"/>
      <c r="Y14" s="7">
        <v>1</v>
      </c>
      <c r="Z14" s="3">
        <v>0</v>
      </c>
      <c r="AA14" s="3"/>
      <c r="AB14" s="3"/>
      <c r="AC14" s="3">
        <v>0</v>
      </c>
      <c r="AD14" s="3">
        <v>0</v>
      </c>
      <c r="AE14" s="3">
        <v>0</v>
      </c>
      <c r="AF14" s="3"/>
      <c r="AG14" s="3">
        <v>0</v>
      </c>
      <c r="AH14" s="3">
        <v>0</v>
      </c>
      <c r="AI14" s="3"/>
      <c r="AJ14" s="3">
        <v>0</v>
      </c>
      <c r="AK14" s="3"/>
      <c r="AL14" s="3">
        <v>0</v>
      </c>
      <c r="AM14" s="3"/>
      <c r="AN14" s="3">
        <v>0</v>
      </c>
      <c r="AO14" s="3"/>
      <c r="AP14" s="3"/>
      <c r="AQ14" s="3"/>
      <c r="AR14" s="3"/>
      <c r="AS14" s="3">
        <f xml:space="preserve"> SUM(Table1[[#This Row],[Amoxycillin]:[Teicoplanin]])/27</f>
        <v>0.33333333333333331</v>
      </c>
    </row>
    <row r="15" spans="1:45" ht="13.2" hidden="1" x14ac:dyDescent="0.25">
      <c r="A15" s="6"/>
      <c r="B15" s="4"/>
      <c r="C15" s="3"/>
      <c r="D15" s="9" t="s">
        <v>46</v>
      </c>
      <c r="E15" s="3"/>
      <c r="F15" s="3"/>
      <c r="G15" s="7">
        <v>1</v>
      </c>
      <c r="H15" s="7">
        <v>1</v>
      </c>
      <c r="I15" s="3">
        <v>0</v>
      </c>
      <c r="J15" s="3"/>
      <c r="K15" s="7">
        <v>1</v>
      </c>
      <c r="L15" s="3"/>
      <c r="M15" s="7">
        <v>1</v>
      </c>
      <c r="N15" s="3"/>
      <c r="O15" s="3"/>
      <c r="P15" s="7">
        <v>1</v>
      </c>
      <c r="Q15" s="3"/>
      <c r="R15" s="7">
        <v>1</v>
      </c>
      <c r="S15" s="7">
        <v>1</v>
      </c>
      <c r="T15" s="7">
        <v>1</v>
      </c>
      <c r="U15" s="7">
        <v>1</v>
      </c>
      <c r="V15" s="3"/>
      <c r="W15" s="7">
        <v>1</v>
      </c>
      <c r="X15" s="3"/>
      <c r="Y15" s="7">
        <v>1</v>
      </c>
      <c r="Z15" s="3">
        <v>0</v>
      </c>
      <c r="AA15" s="3"/>
      <c r="AB15" s="3"/>
      <c r="AC15" s="7">
        <v>1</v>
      </c>
      <c r="AD15" s="3">
        <v>0</v>
      </c>
      <c r="AE15" s="7">
        <v>1</v>
      </c>
      <c r="AF15" s="3"/>
      <c r="AG15" s="3">
        <v>0</v>
      </c>
      <c r="AH15" s="7">
        <v>1</v>
      </c>
      <c r="AI15" s="3"/>
      <c r="AJ15" s="7">
        <v>1</v>
      </c>
      <c r="AK15" s="3"/>
      <c r="AL15" s="3">
        <v>0</v>
      </c>
      <c r="AM15" s="3"/>
      <c r="AN15" s="3">
        <v>0</v>
      </c>
      <c r="AO15" s="3"/>
      <c r="AP15" s="3"/>
      <c r="AQ15" s="3"/>
      <c r="AR15" s="3"/>
      <c r="AS15" s="3">
        <f xml:space="preserve"> SUM(Table1[[#This Row],[Amoxycillin]:[Teicoplanin]])/27</f>
        <v>0.55555555555555558</v>
      </c>
    </row>
    <row r="16" spans="1:45" ht="13.2" hidden="1" x14ac:dyDescent="0.25">
      <c r="A16" s="6" t="s">
        <v>57</v>
      </c>
      <c r="B16" s="4">
        <v>62</v>
      </c>
      <c r="C16" s="3" t="s">
        <v>45</v>
      </c>
      <c r="D16" s="10" t="s">
        <v>47</v>
      </c>
      <c r="E16" s="3"/>
      <c r="F16" s="3"/>
      <c r="G16" s="3">
        <v>0</v>
      </c>
      <c r="H16" s="3">
        <v>0</v>
      </c>
      <c r="I16" s="3"/>
      <c r="J16" s="3">
        <v>0</v>
      </c>
      <c r="K16" s="3">
        <v>0</v>
      </c>
      <c r="L16" s="3"/>
      <c r="M16" s="3">
        <v>0</v>
      </c>
      <c r="N16" s="3"/>
      <c r="O16" s="3"/>
      <c r="P16" s="3">
        <v>0</v>
      </c>
      <c r="Q16" s="3"/>
      <c r="R16" s="3">
        <v>0</v>
      </c>
      <c r="S16" s="3">
        <v>0</v>
      </c>
      <c r="T16" s="3">
        <v>0</v>
      </c>
      <c r="U16" s="3">
        <v>0</v>
      </c>
      <c r="V16" s="3"/>
      <c r="W16" s="3">
        <v>0</v>
      </c>
      <c r="X16" s="3"/>
      <c r="Y16" s="7">
        <v>1</v>
      </c>
      <c r="Z16" s="3">
        <v>0</v>
      </c>
      <c r="AA16" s="3"/>
      <c r="AB16" s="3"/>
      <c r="AC16" s="3">
        <v>0</v>
      </c>
      <c r="AD16" s="3">
        <v>0</v>
      </c>
      <c r="AE16" s="3">
        <v>0</v>
      </c>
      <c r="AF16" s="3"/>
      <c r="AG16" s="3">
        <v>0</v>
      </c>
      <c r="AH16" s="7">
        <v>1</v>
      </c>
      <c r="AI16" s="3"/>
      <c r="AJ16" s="3">
        <v>0</v>
      </c>
      <c r="AK16" s="3"/>
      <c r="AL16" s="3">
        <v>0</v>
      </c>
      <c r="AM16" s="3"/>
      <c r="AN16" s="3">
        <v>0</v>
      </c>
      <c r="AO16" s="3"/>
      <c r="AP16" s="3"/>
      <c r="AQ16" s="3"/>
      <c r="AR16" s="3"/>
      <c r="AS16" s="3">
        <f xml:space="preserve"> SUM(Table1[[#This Row],[Amoxycillin]:[Teicoplanin]])/27</f>
        <v>7.407407407407407E-2</v>
      </c>
    </row>
    <row r="17" spans="1:45" ht="13.2" x14ac:dyDescent="0.25">
      <c r="A17" s="6"/>
      <c r="B17" s="4"/>
      <c r="C17" s="3"/>
      <c r="D17" s="13" t="s">
        <v>50</v>
      </c>
      <c r="E17" s="3"/>
      <c r="F17" s="3">
        <v>0</v>
      </c>
      <c r="G17" s="3">
        <v>0</v>
      </c>
      <c r="H17" s="3">
        <v>0</v>
      </c>
      <c r="I17" s="3"/>
      <c r="J17" s="7">
        <v>1</v>
      </c>
      <c r="K17" s="3">
        <v>0</v>
      </c>
      <c r="L17" s="3"/>
      <c r="M17" s="3">
        <v>0</v>
      </c>
      <c r="N17" s="3"/>
      <c r="O17" s="3"/>
      <c r="P17" s="3"/>
      <c r="Q17" s="3"/>
      <c r="R17" s="3">
        <v>0</v>
      </c>
      <c r="S17" s="3">
        <v>0</v>
      </c>
      <c r="T17" s="3">
        <v>0</v>
      </c>
      <c r="U17" s="3">
        <v>0</v>
      </c>
      <c r="V17" s="3"/>
      <c r="W17" s="7">
        <v>1</v>
      </c>
      <c r="X17" s="3">
        <v>0</v>
      </c>
      <c r="Y17" s="3">
        <v>0</v>
      </c>
      <c r="Z17" s="3">
        <v>0</v>
      </c>
      <c r="AA17" s="3"/>
      <c r="AB17" s="3"/>
      <c r="AC17" s="7">
        <v>1</v>
      </c>
      <c r="AD17" s="3">
        <v>0</v>
      </c>
      <c r="AE17" s="3">
        <v>0</v>
      </c>
      <c r="AF17" s="3"/>
      <c r="AG17" s="3">
        <v>0</v>
      </c>
      <c r="AH17" s="3"/>
      <c r="AI17" s="3"/>
      <c r="AJ17" s="3">
        <v>0</v>
      </c>
      <c r="AK17" s="3"/>
      <c r="AL17" s="3">
        <v>0</v>
      </c>
      <c r="AM17" s="3"/>
      <c r="AN17" s="3">
        <v>0</v>
      </c>
      <c r="AO17" s="3"/>
      <c r="AP17" s="3"/>
      <c r="AQ17" s="3"/>
      <c r="AR17" s="3"/>
      <c r="AS17" s="3">
        <f xml:space="preserve"> SUM(Table1[[#This Row],[Amoxycillin]:[Teicoplanin]])/27</f>
        <v>0.1111111111111111</v>
      </c>
    </row>
    <row r="18" spans="1:45" ht="13.2" hidden="1" x14ac:dyDescent="0.25">
      <c r="A18" s="6" t="s">
        <v>58</v>
      </c>
      <c r="B18" s="4">
        <v>26</v>
      </c>
      <c r="C18" s="3" t="s">
        <v>45</v>
      </c>
      <c r="D18" s="10" t="s">
        <v>47</v>
      </c>
      <c r="E18" s="3"/>
      <c r="F18" s="3"/>
      <c r="G18" s="3">
        <v>0</v>
      </c>
      <c r="H18" s="3">
        <v>0</v>
      </c>
      <c r="I18" s="3">
        <v>0</v>
      </c>
      <c r="J18" s="3"/>
      <c r="K18" s="3">
        <v>0</v>
      </c>
      <c r="L18" s="3"/>
      <c r="M18" s="3">
        <v>0</v>
      </c>
      <c r="N18" s="3"/>
      <c r="O18" s="3"/>
      <c r="P18" s="3">
        <v>0</v>
      </c>
      <c r="Q18" s="3"/>
      <c r="R18" s="3">
        <v>0</v>
      </c>
      <c r="S18" s="3">
        <v>0</v>
      </c>
      <c r="T18" s="3">
        <v>0</v>
      </c>
      <c r="U18" s="3">
        <v>0</v>
      </c>
      <c r="V18" s="3"/>
      <c r="W18" s="3">
        <v>0</v>
      </c>
      <c r="X18" s="3"/>
      <c r="Y18" s="3">
        <v>0</v>
      </c>
      <c r="Z18" s="3">
        <v>0</v>
      </c>
      <c r="AA18" s="3"/>
      <c r="AB18" s="3"/>
      <c r="AC18" s="3">
        <v>0</v>
      </c>
      <c r="AD18" s="3">
        <v>0</v>
      </c>
      <c r="AE18" s="3">
        <v>0</v>
      </c>
      <c r="AF18" s="3"/>
      <c r="AG18" s="3">
        <v>0</v>
      </c>
      <c r="AH18" s="3">
        <v>0</v>
      </c>
      <c r="AI18" s="3"/>
      <c r="AJ18" s="3">
        <v>0</v>
      </c>
      <c r="AK18" s="3"/>
      <c r="AL18" s="3">
        <v>0</v>
      </c>
      <c r="AM18" s="3"/>
      <c r="AN18" s="3">
        <v>0</v>
      </c>
      <c r="AO18" s="3"/>
      <c r="AP18" s="3"/>
      <c r="AQ18" s="3"/>
      <c r="AR18" s="3"/>
      <c r="AS18" s="3">
        <f xml:space="preserve"> SUM(Table1[[#This Row],[Amoxycillin]:[Teicoplanin]])/27</f>
        <v>0</v>
      </c>
    </row>
    <row r="19" spans="1:45" ht="13.2" hidden="1" x14ac:dyDescent="0.25">
      <c r="A19" s="6"/>
      <c r="B19" s="4"/>
      <c r="C19" s="3"/>
      <c r="D19" s="11" t="s">
        <v>59</v>
      </c>
      <c r="E19" s="3"/>
      <c r="F19" s="3"/>
      <c r="G19" s="7">
        <v>1</v>
      </c>
      <c r="H19" s="3">
        <v>0</v>
      </c>
      <c r="I19" s="7">
        <v>1</v>
      </c>
      <c r="J19" s="3"/>
      <c r="K19" s="3">
        <v>0</v>
      </c>
      <c r="L19" s="3"/>
      <c r="M19" s="3">
        <v>0</v>
      </c>
      <c r="N19" s="3"/>
      <c r="O19" s="3"/>
      <c r="P19" s="3"/>
      <c r="Q19" s="3"/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7">
        <v>1</v>
      </c>
      <c r="X19" s="3"/>
      <c r="Y19" s="3"/>
      <c r="Z19" s="3">
        <v>0</v>
      </c>
      <c r="AA19" s="3"/>
      <c r="AB19" s="3"/>
      <c r="AC19" s="7">
        <v>1</v>
      </c>
      <c r="AD19" s="3"/>
      <c r="AE19" s="3">
        <v>0</v>
      </c>
      <c r="AF19" s="3">
        <v>0</v>
      </c>
      <c r="AG19" s="3">
        <v>0</v>
      </c>
      <c r="AH19" s="3"/>
      <c r="AI19" s="3"/>
      <c r="AJ19" s="3">
        <v>0</v>
      </c>
      <c r="AK19" s="3"/>
      <c r="AL19" s="3">
        <v>0</v>
      </c>
      <c r="AM19" s="3"/>
      <c r="AN19" s="3">
        <v>0</v>
      </c>
      <c r="AO19" s="3"/>
      <c r="AP19" s="3"/>
      <c r="AQ19" s="3">
        <v>0</v>
      </c>
      <c r="AR19" s="3"/>
      <c r="AS19" s="3">
        <f xml:space="preserve"> SUM(Table1[[#This Row],[Amoxycillin]:[Teicoplanin]])/27</f>
        <v>0.14814814814814814</v>
      </c>
    </row>
    <row r="20" spans="1:45" ht="13.2" hidden="1" x14ac:dyDescent="0.25">
      <c r="A20" s="6" t="s">
        <v>60</v>
      </c>
      <c r="B20" s="4">
        <v>36</v>
      </c>
      <c r="C20" s="3" t="s">
        <v>52</v>
      </c>
      <c r="D20" s="10" t="s">
        <v>47</v>
      </c>
      <c r="E20" s="3"/>
      <c r="F20" s="3"/>
      <c r="G20" s="7">
        <v>1</v>
      </c>
      <c r="H20" s="7">
        <v>1</v>
      </c>
      <c r="I20" s="3">
        <v>0</v>
      </c>
      <c r="J20" s="3"/>
      <c r="K20" s="7">
        <v>1</v>
      </c>
      <c r="L20" s="3"/>
      <c r="M20" s="7">
        <v>1</v>
      </c>
      <c r="N20" s="3"/>
      <c r="O20" s="3"/>
      <c r="P20" s="3">
        <v>0</v>
      </c>
      <c r="Q20" s="3"/>
      <c r="R20" s="7">
        <v>1</v>
      </c>
      <c r="S20" s="7">
        <v>1</v>
      </c>
      <c r="T20" s="3"/>
      <c r="U20" s="7">
        <v>1</v>
      </c>
      <c r="V20" s="3"/>
      <c r="W20" s="3">
        <v>0</v>
      </c>
      <c r="X20" s="3"/>
      <c r="Y20" s="3">
        <v>0</v>
      </c>
      <c r="Z20" s="3">
        <v>0</v>
      </c>
      <c r="AA20" s="3"/>
      <c r="AB20" s="3"/>
      <c r="AC20" s="3">
        <v>0</v>
      </c>
      <c r="AD20" s="3">
        <v>0</v>
      </c>
      <c r="AE20" s="7">
        <v>1</v>
      </c>
      <c r="AF20" s="3"/>
      <c r="AG20" s="3">
        <v>0</v>
      </c>
      <c r="AH20" s="7">
        <v>1</v>
      </c>
      <c r="AI20" s="3"/>
      <c r="AJ20" s="3">
        <v>0</v>
      </c>
      <c r="AK20" s="3"/>
      <c r="AL20" s="7">
        <v>1</v>
      </c>
      <c r="AM20" s="3"/>
      <c r="AN20" s="3">
        <v>0</v>
      </c>
      <c r="AO20" s="3"/>
      <c r="AP20" s="3"/>
      <c r="AQ20" s="3"/>
      <c r="AR20" s="3"/>
      <c r="AS20" s="3">
        <f xml:space="preserve"> SUM(Table1[[#This Row],[Amoxycillin]:[Teicoplanin]])/27</f>
        <v>0.37037037037037035</v>
      </c>
    </row>
    <row r="21" spans="1:45" ht="13.2" hidden="1" x14ac:dyDescent="0.25">
      <c r="A21" s="6"/>
      <c r="B21" s="4"/>
      <c r="C21" s="3"/>
      <c r="D21" s="12" t="s">
        <v>61</v>
      </c>
      <c r="E21" s="3"/>
      <c r="F21" s="3"/>
      <c r="G21" s="7">
        <v>1</v>
      </c>
      <c r="H21" s="7">
        <v>1</v>
      </c>
      <c r="I21" s="3">
        <v>0</v>
      </c>
      <c r="J21" s="3"/>
      <c r="K21" s="7">
        <v>1</v>
      </c>
      <c r="L21" s="3"/>
      <c r="M21" s="7">
        <v>1</v>
      </c>
      <c r="N21" s="3"/>
      <c r="O21" s="3"/>
      <c r="P21" s="3">
        <v>0</v>
      </c>
      <c r="Q21" s="3"/>
      <c r="R21" s="7">
        <v>1</v>
      </c>
      <c r="S21" s="3">
        <v>0</v>
      </c>
      <c r="T21" s="3"/>
      <c r="U21" s="3">
        <v>0</v>
      </c>
      <c r="V21" s="3"/>
      <c r="W21" s="7">
        <v>1</v>
      </c>
      <c r="X21" s="3"/>
      <c r="Y21" s="7">
        <v>1</v>
      </c>
      <c r="Z21" s="3">
        <v>0</v>
      </c>
      <c r="AA21" s="3"/>
      <c r="AB21" s="3"/>
      <c r="AC21" s="3">
        <v>0</v>
      </c>
      <c r="AD21" s="3">
        <v>0</v>
      </c>
      <c r="AE21" s="3">
        <v>0</v>
      </c>
      <c r="AF21" s="3"/>
      <c r="AG21" s="3">
        <v>0</v>
      </c>
      <c r="AH21" s="7">
        <v>1</v>
      </c>
      <c r="AI21" s="3"/>
      <c r="AJ21" s="7">
        <v>1</v>
      </c>
      <c r="AK21" s="3"/>
      <c r="AL21" s="3">
        <v>0</v>
      </c>
      <c r="AM21" s="3"/>
      <c r="AN21" s="7">
        <v>1</v>
      </c>
      <c r="AO21" s="3"/>
      <c r="AP21" s="3"/>
      <c r="AQ21" s="3"/>
      <c r="AR21" s="3"/>
      <c r="AS21" s="3">
        <f xml:space="preserve"> SUM(Table1[[#This Row],[Amoxycillin]:[Teicoplanin]])/27</f>
        <v>0.37037037037037035</v>
      </c>
    </row>
    <row r="22" spans="1:45" ht="13.2" hidden="1" x14ac:dyDescent="0.25">
      <c r="A22" s="6" t="s">
        <v>62</v>
      </c>
      <c r="B22" s="4">
        <v>18</v>
      </c>
      <c r="C22" s="3" t="s">
        <v>45</v>
      </c>
      <c r="D22" s="10" t="s">
        <v>47</v>
      </c>
      <c r="E22" s="3"/>
      <c r="F22" s="3"/>
      <c r="G22" s="7">
        <v>1</v>
      </c>
      <c r="H22" s="3">
        <v>0</v>
      </c>
      <c r="I22" s="3">
        <v>0</v>
      </c>
      <c r="J22" s="3"/>
      <c r="K22" s="3">
        <v>0</v>
      </c>
      <c r="L22" s="3">
        <v>0</v>
      </c>
      <c r="M22" s="3">
        <v>0</v>
      </c>
      <c r="N22" s="3"/>
      <c r="O22" s="3"/>
      <c r="P22" s="3">
        <v>0</v>
      </c>
      <c r="Q22" s="3"/>
      <c r="R22" s="3">
        <v>0</v>
      </c>
      <c r="S22" s="3">
        <v>0</v>
      </c>
      <c r="T22" s="3">
        <v>0</v>
      </c>
      <c r="U22" s="3">
        <v>0</v>
      </c>
      <c r="V22" s="3"/>
      <c r="W22" s="3">
        <v>0</v>
      </c>
      <c r="X22" s="3"/>
      <c r="Y22" s="3">
        <v>0</v>
      </c>
      <c r="Z22" s="3">
        <v>0</v>
      </c>
      <c r="AA22" s="3"/>
      <c r="AB22" s="3"/>
      <c r="AC22" s="3">
        <v>0</v>
      </c>
      <c r="AD22" s="3">
        <v>0</v>
      </c>
      <c r="AE22" s="3">
        <v>0</v>
      </c>
      <c r="AF22" s="3"/>
      <c r="AG22" s="3">
        <v>0</v>
      </c>
      <c r="AH22" s="3">
        <v>0</v>
      </c>
      <c r="AI22" s="3"/>
      <c r="AJ22" s="3">
        <v>0</v>
      </c>
      <c r="AK22" s="3"/>
      <c r="AL22" s="3">
        <v>0</v>
      </c>
      <c r="AM22" s="3"/>
      <c r="AN22" s="3">
        <v>0</v>
      </c>
      <c r="AO22" s="3"/>
      <c r="AP22" s="3"/>
      <c r="AQ22" s="3"/>
      <c r="AR22" s="3"/>
      <c r="AS22" s="3">
        <f xml:space="preserve"> SUM(Table1[[#This Row],[Amoxycillin]:[Teicoplanin]])/27</f>
        <v>3.7037037037037035E-2</v>
      </c>
    </row>
    <row r="23" spans="1:45" ht="13.2" x14ac:dyDescent="0.25">
      <c r="A23" s="6"/>
      <c r="B23" s="4"/>
      <c r="C23" s="3"/>
      <c r="D23" s="13" t="s">
        <v>50</v>
      </c>
      <c r="E23" s="3"/>
      <c r="F23" s="3"/>
      <c r="G23" s="7">
        <v>1</v>
      </c>
      <c r="H23" s="3">
        <v>0</v>
      </c>
      <c r="I23" s="7">
        <v>1</v>
      </c>
      <c r="J23" s="3"/>
      <c r="K23" s="3">
        <v>0</v>
      </c>
      <c r="L23" s="3">
        <v>0</v>
      </c>
      <c r="M23" s="3">
        <v>0</v>
      </c>
      <c r="N23" s="3"/>
      <c r="O23" s="3"/>
      <c r="P23" s="3">
        <v>0</v>
      </c>
      <c r="Q23" s="3"/>
      <c r="R23" s="3">
        <v>0</v>
      </c>
      <c r="S23" s="3">
        <v>0</v>
      </c>
      <c r="T23" s="3">
        <v>0</v>
      </c>
      <c r="U23" s="7">
        <v>1</v>
      </c>
      <c r="V23" s="3"/>
      <c r="W23" s="7">
        <v>1</v>
      </c>
      <c r="X23" s="3"/>
      <c r="Y23" s="7">
        <v>1</v>
      </c>
      <c r="Z23" s="3">
        <v>0</v>
      </c>
      <c r="AA23" s="3"/>
      <c r="AB23" s="3"/>
      <c r="AC23" s="7">
        <v>1</v>
      </c>
      <c r="AD23" s="3">
        <v>0</v>
      </c>
      <c r="AE23" s="7">
        <v>1</v>
      </c>
      <c r="AF23" s="3"/>
      <c r="AG23" s="3">
        <v>0</v>
      </c>
      <c r="AH23" s="3">
        <v>0</v>
      </c>
      <c r="AI23" s="3"/>
      <c r="AJ23" s="3">
        <v>0</v>
      </c>
      <c r="AK23" s="3"/>
      <c r="AL23" s="3">
        <v>0</v>
      </c>
      <c r="AM23" s="3"/>
      <c r="AN23" s="3">
        <v>0</v>
      </c>
      <c r="AO23" s="3"/>
      <c r="AP23" s="3"/>
      <c r="AQ23" s="3"/>
      <c r="AR23" s="3"/>
      <c r="AS23" s="3">
        <f xml:space="preserve"> SUM(Table1[[#This Row],[Amoxycillin]:[Teicoplanin]])/27</f>
        <v>0.25925925925925924</v>
      </c>
    </row>
    <row r="24" spans="1:45" ht="13.2" hidden="1" x14ac:dyDescent="0.25">
      <c r="A24" s="6" t="s">
        <v>63</v>
      </c>
      <c r="B24" s="4">
        <v>75</v>
      </c>
      <c r="C24" s="3" t="s">
        <v>45</v>
      </c>
      <c r="D24" s="10" t="s">
        <v>47</v>
      </c>
      <c r="E24" s="3"/>
      <c r="F24" s="3"/>
      <c r="G24" s="7">
        <v>1</v>
      </c>
      <c r="H24" s="3">
        <v>0</v>
      </c>
      <c r="I24" s="3">
        <v>0</v>
      </c>
      <c r="J24" s="3"/>
      <c r="K24" s="7">
        <v>1</v>
      </c>
      <c r="L24" s="3"/>
      <c r="M24" s="7">
        <v>1</v>
      </c>
      <c r="N24" s="3"/>
      <c r="O24" s="3"/>
      <c r="P24" s="3">
        <v>0</v>
      </c>
      <c r="Q24" s="3"/>
      <c r="R24" s="7">
        <v>1</v>
      </c>
      <c r="S24" s="7">
        <v>1</v>
      </c>
      <c r="T24" s="7">
        <v>1</v>
      </c>
      <c r="U24" s="3">
        <v>0</v>
      </c>
      <c r="V24" s="3"/>
      <c r="W24" s="7">
        <v>1</v>
      </c>
      <c r="X24" s="3"/>
      <c r="Y24" s="7">
        <v>1</v>
      </c>
      <c r="Z24" s="3">
        <v>0</v>
      </c>
      <c r="AA24" s="3"/>
      <c r="AB24" s="3"/>
      <c r="AC24" s="3">
        <v>0</v>
      </c>
      <c r="AD24" s="3">
        <v>0</v>
      </c>
      <c r="AE24" s="3">
        <v>0</v>
      </c>
      <c r="AF24" s="3"/>
      <c r="AG24" s="3">
        <v>0</v>
      </c>
      <c r="AH24" s="3">
        <v>0</v>
      </c>
      <c r="AI24" s="3"/>
      <c r="AJ24" s="7">
        <v>1</v>
      </c>
      <c r="AK24" s="3"/>
      <c r="AL24" s="3">
        <v>0</v>
      </c>
      <c r="AM24" s="3"/>
      <c r="AN24" s="3">
        <v>0</v>
      </c>
      <c r="AO24" s="3"/>
      <c r="AP24" s="3"/>
      <c r="AQ24" s="3"/>
      <c r="AR24" s="3"/>
      <c r="AS24" s="3">
        <f xml:space="preserve"> SUM(Table1[[#This Row],[Amoxycillin]:[Teicoplanin]])/27</f>
        <v>0.33333333333333331</v>
      </c>
    </row>
    <row r="25" spans="1:45" ht="13.2" hidden="1" x14ac:dyDescent="0.25">
      <c r="A25" s="6"/>
      <c r="B25" s="4"/>
      <c r="C25" s="3"/>
      <c r="D25" s="9" t="s">
        <v>46</v>
      </c>
      <c r="E25" s="3"/>
      <c r="F25" s="3"/>
      <c r="G25" s="7">
        <v>1</v>
      </c>
      <c r="H25" s="7">
        <v>1</v>
      </c>
      <c r="I25" s="3">
        <v>0</v>
      </c>
      <c r="J25" s="3"/>
      <c r="K25" s="7">
        <v>1</v>
      </c>
      <c r="L25" s="3"/>
      <c r="M25" s="7">
        <v>1</v>
      </c>
      <c r="N25" s="3"/>
      <c r="O25" s="3"/>
      <c r="P25" s="3">
        <v>0</v>
      </c>
      <c r="Q25" s="3"/>
      <c r="R25" s="7">
        <v>1</v>
      </c>
      <c r="S25" s="7">
        <v>1</v>
      </c>
      <c r="T25" s="7">
        <v>1</v>
      </c>
      <c r="U25" s="7">
        <v>1</v>
      </c>
      <c r="V25" s="3"/>
      <c r="W25" s="3">
        <v>0</v>
      </c>
      <c r="X25" s="3"/>
      <c r="Y25" s="7">
        <v>1</v>
      </c>
      <c r="Z25" s="3">
        <v>0</v>
      </c>
      <c r="AA25" s="3"/>
      <c r="AB25" s="3"/>
      <c r="AC25" s="3">
        <v>0</v>
      </c>
      <c r="AD25" s="3">
        <v>0</v>
      </c>
      <c r="AE25" s="7">
        <v>1</v>
      </c>
      <c r="AF25" s="3"/>
      <c r="AG25" s="3">
        <v>0</v>
      </c>
      <c r="AH25" s="7">
        <v>1</v>
      </c>
      <c r="AI25" s="3"/>
      <c r="AJ25" s="3">
        <v>0</v>
      </c>
      <c r="AK25" s="3"/>
      <c r="AL25" s="3">
        <v>0</v>
      </c>
      <c r="AM25" s="3"/>
      <c r="AN25" s="3">
        <v>0</v>
      </c>
      <c r="AO25" s="3"/>
      <c r="AP25" s="3"/>
      <c r="AQ25" s="3"/>
      <c r="AR25" s="3"/>
      <c r="AS25" s="3">
        <f xml:space="preserve"> SUM(Table1[[#This Row],[Amoxycillin]:[Teicoplanin]])/27</f>
        <v>0.40740740740740738</v>
      </c>
    </row>
    <row r="26" spans="1:45" ht="13.2" hidden="1" x14ac:dyDescent="0.25">
      <c r="A26" s="6" t="s">
        <v>64</v>
      </c>
      <c r="B26" s="4">
        <v>60</v>
      </c>
      <c r="C26" s="3" t="s">
        <v>45</v>
      </c>
      <c r="D26" s="10" t="s">
        <v>47</v>
      </c>
      <c r="E26" s="3"/>
      <c r="F26" s="3"/>
      <c r="G26" s="7">
        <v>1</v>
      </c>
      <c r="H26" s="3">
        <v>0</v>
      </c>
      <c r="I26" s="3">
        <v>0</v>
      </c>
      <c r="J26" s="3"/>
      <c r="K26" s="3">
        <v>0</v>
      </c>
      <c r="L26" s="3"/>
      <c r="M26" s="3">
        <v>0</v>
      </c>
      <c r="N26" s="3"/>
      <c r="O26" s="3"/>
      <c r="P26" s="3">
        <v>0</v>
      </c>
      <c r="Q26" s="3"/>
      <c r="R26" s="3">
        <v>0</v>
      </c>
      <c r="S26" s="3">
        <v>0</v>
      </c>
      <c r="T26" s="3">
        <v>0</v>
      </c>
      <c r="U26" s="3">
        <v>0</v>
      </c>
      <c r="V26" s="3"/>
      <c r="W26" s="3">
        <v>0</v>
      </c>
      <c r="X26" s="3"/>
      <c r="Y26" s="3">
        <v>0</v>
      </c>
      <c r="Z26" s="3">
        <v>0</v>
      </c>
      <c r="AA26" s="3"/>
      <c r="AB26" s="3"/>
      <c r="AC26" s="3">
        <v>0</v>
      </c>
      <c r="AD26" s="3">
        <v>0</v>
      </c>
      <c r="AE26" s="3">
        <v>0</v>
      </c>
      <c r="AF26" s="3"/>
      <c r="AG26" s="3">
        <v>0</v>
      </c>
      <c r="AH26" s="3">
        <v>0</v>
      </c>
      <c r="AI26" s="3"/>
      <c r="AJ26" s="3">
        <v>0</v>
      </c>
      <c r="AK26" s="3"/>
      <c r="AL26" s="3">
        <v>0</v>
      </c>
      <c r="AM26" s="3"/>
      <c r="AN26" s="3">
        <v>0</v>
      </c>
      <c r="AO26" s="3"/>
      <c r="AP26" s="3"/>
      <c r="AQ26" s="3"/>
      <c r="AR26" s="3"/>
      <c r="AS26" s="3">
        <f xml:space="preserve"> SUM(Table1[[#This Row],[Amoxycillin]:[Teicoplanin]])/27</f>
        <v>3.7037037037037035E-2</v>
      </c>
    </row>
    <row r="27" spans="1:45" ht="13.2" hidden="1" x14ac:dyDescent="0.25">
      <c r="A27" s="6"/>
      <c r="B27" s="4"/>
      <c r="C27" s="3"/>
      <c r="D27" s="9" t="s">
        <v>46</v>
      </c>
      <c r="E27" s="3"/>
      <c r="F27" s="3"/>
      <c r="G27" s="7">
        <v>1</v>
      </c>
      <c r="H27" s="3">
        <v>0</v>
      </c>
      <c r="I27" s="3">
        <v>0</v>
      </c>
      <c r="J27" s="3"/>
      <c r="K27" s="3">
        <v>0</v>
      </c>
      <c r="L27" s="3"/>
      <c r="M27" s="3">
        <v>0</v>
      </c>
      <c r="N27" s="3"/>
      <c r="O27" s="3"/>
      <c r="P27" s="3">
        <v>0</v>
      </c>
      <c r="Q27" s="3"/>
      <c r="R27" s="3">
        <v>0</v>
      </c>
      <c r="S27" s="3">
        <v>0</v>
      </c>
      <c r="T27" s="3">
        <v>0</v>
      </c>
      <c r="U27" s="3">
        <v>0</v>
      </c>
      <c r="V27" s="3"/>
      <c r="W27" s="3">
        <v>0</v>
      </c>
      <c r="X27" s="3"/>
      <c r="Y27" s="3">
        <v>0</v>
      </c>
      <c r="Z27" s="3">
        <v>0</v>
      </c>
      <c r="AA27" s="3"/>
      <c r="AB27" s="3"/>
      <c r="AC27" s="3">
        <v>0</v>
      </c>
      <c r="AD27" s="3">
        <v>0</v>
      </c>
      <c r="AE27" s="3">
        <v>0</v>
      </c>
      <c r="AF27" s="3"/>
      <c r="AG27" s="3">
        <v>0</v>
      </c>
      <c r="AH27" s="3">
        <v>0</v>
      </c>
      <c r="AI27" s="3"/>
      <c r="AJ27" s="7">
        <v>1</v>
      </c>
      <c r="AK27" s="3"/>
      <c r="AL27" s="3">
        <v>0</v>
      </c>
      <c r="AM27" s="3"/>
      <c r="AN27" s="3">
        <v>0</v>
      </c>
      <c r="AO27" s="3"/>
      <c r="AP27" s="3"/>
      <c r="AQ27" s="3"/>
      <c r="AR27" s="3"/>
      <c r="AS27" s="3">
        <f xml:space="preserve"> SUM(Table1[[#This Row],[Amoxycillin]:[Teicoplanin]])/27</f>
        <v>7.407407407407407E-2</v>
      </c>
    </row>
    <row r="28" spans="1:45" ht="13.2" hidden="1" x14ac:dyDescent="0.25">
      <c r="A28" s="6" t="s">
        <v>65</v>
      </c>
      <c r="B28" s="4">
        <v>55</v>
      </c>
      <c r="C28" s="3" t="s">
        <v>45</v>
      </c>
      <c r="D28" s="10" t="s">
        <v>47</v>
      </c>
      <c r="E28" s="3"/>
      <c r="F28" s="3"/>
      <c r="G28" s="3">
        <v>0</v>
      </c>
      <c r="H28" s="3">
        <v>0</v>
      </c>
      <c r="I28" s="3">
        <v>0</v>
      </c>
      <c r="J28" s="3"/>
      <c r="K28" s="3">
        <v>0</v>
      </c>
      <c r="L28" s="3"/>
      <c r="M28" s="3">
        <v>0</v>
      </c>
      <c r="N28" s="3"/>
      <c r="O28" s="3"/>
      <c r="P28" s="3">
        <v>0</v>
      </c>
      <c r="Q28" s="3"/>
      <c r="R28" s="3">
        <v>0</v>
      </c>
      <c r="S28" s="3">
        <v>0</v>
      </c>
      <c r="T28" s="3">
        <v>0</v>
      </c>
      <c r="U28" s="3">
        <v>0</v>
      </c>
      <c r="V28" s="3"/>
      <c r="W28" s="3">
        <v>0</v>
      </c>
      <c r="X28" s="3"/>
      <c r="Y28" s="3">
        <v>0</v>
      </c>
      <c r="Z28" s="3">
        <v>0</v>
      </c>
      <c r="AA28" s="3"/>
      <c r="AB28" s="3"/>
      <c r="AC28" s="3">
        <v>0</v>
      </c>
      <c r="AD28" s="3">
        <v>0</v>
      </c>
      <c r="AE28" s="3">
        <v>0</v>
      </c>
      <c r="AF28" s="3"/>
      <c r="AG28" s="3">
        <v>0</v>
      </c>
      <c r="AH28" s="7">
        <v>1</v>
      </c>
      <c r="AI28" s="3"/>
      <c r="AJ28" s="3">
        <v>0</v>
      </c>
      <c r="AK28" s="3"/>
      <c r="AL28" s="3">
        <v>0</v>
      </c>
      <c r="AM28" s="3"/>
      <c r="AN28" s="3">
        <v>0</v>
      </c>
      <c r="AO28" s="3"/>
      <c r="AP28" s="3"/>
      <c r="AQ28" s="3"/>
      <c r="AR28" s="3"/>
      <c r="AS28" s="3">
        <f xml:space="preserve"> SUM(Table1[[#This Row],[Amoxycillin]:[Teicoplanin]])/27</f>
        <v>3.7037037037037035E-2</v>
      </c>
    </row>
    <row r="29" spans="1:45" ht="13.2" hidden="1" x14ac:dyDescent="0.25">
      <c r="A29" s="6"/>
      <c r="B29" s="4"/>
      <c r="C29" s="3"/>
      <c r="D29" s="15" t="s">
        <v>66</v>
      </c>
      <c r="E29" s="3"/>
      <c r="F29" s="3"/>
      <c r="G29" s="3">
        <v>0</v>
      </c>
      <c r="H29" s="3">
        <v>0</v>
      </c>
      <c r="I29" s="3">
        <v>0</v>
      </c>
      <c r="J29" s="3"/>
      <c r="K29" s="3">
        <v>0</v>
      </c>
      <c r="L29" s="3"/>
      <c r="M29" s="3">
        <v>0</v>
      </c>
      <c r="N29" s="3"/>
      <c r="O29" s="3"/>
      <c r="P29" s="3">
        <v>0</v>
      </c>
      <c r="Q29" s="3"/>
      <c r="R29" s="3">
        <v>0</v>
      </c>
      <c r="S29" s="3">
        <v>0</v>
      </c>
      <c r="T29" s="3">
        <v>0</v>
      </c>
      <c r="U29" s="3">
        <v>0</v>
      </c>
      <c r="V29" s="3"/>
      <c r="W29" s="3">
        <v>0</v>
      </c>
      <c r="X29" s="3"/>
      <c r="Y29" s="3">
        <v>0</v>
      </c>
      <c r="Z29" s="3">
        <v>0</v>
      </c>
      <c r="AA29" s="3"/>
      <c r="AB29" s="3"/>
      <c r="AC29" s="3">
        <v>0</v>
      </c>
      <c r="AD29" s="3">
        <v>0</v>
      </c>
      <c r="AE29" s="3">
        <v>0</v>
      </c>
      <c r="AF29" s="3"/>
      <c r="AG29" s="3">
        <v>0</v>
      </c>
      <c r="AH29" s="7">
        <v>1</v>
      </c>
      <c r="AI29" s="3"/>
      <c r="AJ29" s="3">
        <v>0</v>
      </c>
      <c r="AK29" s="3"/>
      <c r="AL29" s="3">
        <v>0</v>
      </c>
      <c r="AM29" s="3"/>
      <c r="AN29" s="3">
        <v>0</v>
      </c>
      <c r="AO29" s="3"/>
      <c r="AP29" s="3"/>
      <c r="AQ29" s="3"/>
      <c r="AR29" s="3"/>
      <c r="AS29" s="3">
        <f xml:space="preserve"> SUM(Table1[[#This Row],[Amoxycillin]:[Teicoplanin]])/27</f>
        <v>3.7037037037037035E-2</v>
      </c>
    </row>
    <row r="30" spans="1:45" ht="13.2" hidden="1" x14ac:dyDescent="0.25">
      <c r="A30" s="6" t="s">
        <v>67</v>
      </c>
      <c r="B30" s="4">
        <v>55</v>
      </c>
      <c r="C30" s="3" t="s">
        <v>45</v>
      </c>
      <c r="D30" s="10" t="s">
        <v>47</v>
      </c>
      <c r="E30" s="3"/>
      <c r="F30" s="3"/>
      <c r="G30" s="3">
        <v>0</v>
      </c>
      <c r="H30" s="3">
        <v>0</v>
      </c>
      <c r="I30" s="3">
        <v>0</v>
      </c>
      <c r="J30" s="3"/>
      <c r="K30" s="3">
        <v>0</v>
      </c>
      <c r="L30" s="3"/>
      <c r="M30" s="7">
        <v>1</v>
      </c>
      <c r="N30" s="3"/>
      <c r="O30" s="3"/>
      <c r="P30" s="3">
        <v>0</v>
      </c>
      <c r="Q30" s="3"/>
      <c r="R30" s="7">
        <v>1</v>
      </c>
      <c r="S30" s="3">
        <v>0</v>
      </c>
      <c r="T30" s="7">
        <v>1</v>
      </c>
      <c r="U30" s="7">
        <v>1</v>
      </c>
      <c r="V30" s="3"/>
      <c r="W30" s="3">
        <v>0</v>
      </c>
      <c r="X30" s="3"/>
      <c r="Y30" s="3">
        <v>0</v>
      </c>
      <c r="Z30" s="3">
        <v>0</v>
      </c>
      <c r="AA30" s="3"/>
      <c r="AB30" s="3"/>
      <c r="AC30" s="3">
        <v>0</v>
      </c>
      <c r="AD30" s="3">
        <v>0</v>
      </c>
      <c r="AE30" s="7">
        <v>1</v>
      </c>
      <c r="AF30" s="3"/>
      <c r="AG30" s="3">
        <v>0</v>
      </c>
      <c r="AH30" s="7">
        <v>1</v>
      </c>
      <c r="AI30" s="3"/>
      <c r="AJ30" s="3">
        <v>0</v>
      </c>
      <c r="AK30" s="3"/>
      <c r="AL30" s="3">
        <v>0</v>
      </c>
      <c r="AM30" s="3"/>
      <c r="AN30" s="3">
        <v>0</v>
      </c>
      <c r="AO30" s="3"/>
      <c r="AP30" s="3"/>
      <c r="AQ30" s="3"/>
      <c r="AR30" s="3"/>
      <c r="AS30" s="3">
        <f xml:space="preserve"> SUM(Table1[[#This Row],[Amoxycillin]:[Teicoplanin]])/27</f>
        <v>0.22222222222222221</v>
      </c>
    </row>
    <row r="31" spans="1:45" ht="13.2" hidden="1" x14ac:dyDescent="0.25">
      <c r="A31" s="6"/>
      <c r="B31" s="4"/>
      <c r="C31" s="3"/>
      <c r="D31" s="9" t="s">
        <v>46</v>
      </c>
      <c r="E31" s="3"/>
      <c r="F31" s="3"/>
      <c r="G31" s="3">
        <v>0</v>
      </c>
      <c r="H31" s="7">
        <v>1</v>
      </c>
      <c r="I31" s="3">
        <v>0</v>
      </c>
      <c r="J31" s="3"/>
      <c r="K31" s="3">
        <v>0</v>
      </c>
      <c r="L31" s="3"/>
      <c r="M31" s="3">
        <v>0</v>
      </c>
      <c r="N31" s="3"/>
      <c r="O31" s="3"/>
      <c r="P31" s="3">
        <v>0</v>
      </c>
      <c r="Q31" s="3"/>
      <c r="R31" s="3">
        <v>0</v>
      </c>
      <c r="S31" s="3">
        <v>0</v>
      </c>
      <c r="T31" s="3">
        <v>0</v>
      </c>
      <c r="U31" s="3">
        <v>0</v>
      </c>
      <c r="V31" s="3"/>
      <c r="W31" s="3">
        <v>0</v>
      </c>
      <c r="X31" s="3"/>
      <c r="Y31" s="3">
        <v>0</v>
      </c>
      <c r="Z31" s="3">
        <v>0</v>
      </c>
      <c r="AA31" s="3"/>
      <c r="AB31" s="3"/>
      <c r="AC31" s="3">
        <v>0</v>
      </c>
      <c r="AD31" s="3">
        <v>0</v>
      </c>
      <c r="AE31" s="3">
        <v>0</v>
      </c>
      <c r="AF31" s="3"/>
      <c r="AG31" s="3">
        <v>0</v>
      </c>
      <c r="AH31" s="3">
        <v>0</v>
      </c>
      <c r="AI31" s="3"/>
      <c r="AJ31" s="3">
        <v>0</v>
      </c>
      <c r="AK31" s="3"/>
      <c r="AL31" s="3">
        <v>0</v>
      </c>
      <c r="AM31" s="3"/>
      <c r="AN31" s="3">
        <v>0</v>
      </c>
      <c r="AO31" s="3"/>
      <c r="AP31" s="3"/>
      <c r="AQ31" s="3"/>
      <c r="AR31" s="3"/>
      <c r="AS31" s="3">
        <f xml:space="preserve"> SUM(Table1[[#This Row],[Amoxycillin]:[Teicoplanin]])/27</f>
        <v>3.7037037037037035E-2</v>
      </c>
    </row>
    <row r="32" spans="1:45" ht="13.2" x14ac:dyDescent="0.25">
      <c r="A32" s="6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3.2" x14ac:dyDescent="0.25">
      <c r="A33" s="6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3.2" x14ac:dyDescent="0.25">
      <c r="A34" s="6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13.2" x14ac:dyDescent="0.25">
      <c r="A35" s="6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3.2" x14ac:dyDescent="0.25">
      <c r="A36" s="6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3.2" x14ac:dyDescent="0.25">
      <c r="A37" s="6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13.2" x14ac:dyDescent="0.25">
      <c r="A38" s="6"/>
      <c r="B38" s="4"/>
      <c r="C38" s="3"/>
      <c r="D38" s="16" t="s">
        <v>46</v>
      </c>
      <c r="E38" s="3">
        <f>SUM(Table1[MARI Value])/6</f>
        <v>1.0987654320987654</v>
      </c>
      <c r="F38" s="3" t="str">
        <f xml:space="preserve"> IF(AND(E38&lt;=0.2), "Low-level Resistance",IF(AND(E38&lt;=0.4), "Moderate-level Resistance", IF(AND(E38&gt;0.41), "High-level Resistance")))</f>
        <v>High-level Resistance</v>
      </c>
      <c r="G38" s="23" t="s">
        <v>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3.2" x14ac:dyDescent="0.25">
      <c r="A39" s="6"/>
      <c r="B39" s="4"/>
      <c r="C39" s="3"/>
      <c r="D39" s="17" t="s">
        <v>47</v>
      </c>
      <c r="E39" s="3">
        <f>SUM(AS3:AS30)/14</f>
        <v>0.46296296296296297</v>
      </c>
      <c r="F39" s="3" t="str">
        <f t="shared" ref="F39:F44" si="0" xml:space="preserve"> IF(AND(E39&lt;=0.2), "Low-level Resistance",IF(AND(E39&lt;=0.4), "Moderate-level Resistance", IF(AND(E39&gt;0.41), "High-level Resistance")))</f>
        <v>High-level Resistance</v>
      </c>
      <c r="G39" s="23" t="s">
        <v>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3.2" x14ac:dyDescent="0.25">
      <c r="A40" s="6"/>
      <c r="B40" s="4"/>
      <c r="C40" s="3"/>
      <c r="D40" s="18" t="s">
        <v>49</v>
      </c>
      <c r="E40" s="3">
        <f>SUM(AS4:AS11)/3</f>
        <v>0.71604938271604934</v>
      </c>
      <c r="F40" s="3" t="str">
        <f t="shared" si="0"/>
        <v>High-level Resistance</v>
      </c>
      <c r="G40" s="23" t="s">
        <v>10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13.2" x14ac:dyDescent="0.25">
      <c r="A41" s="6"/>
      <c r="B41" s="4"/>
      <c r="C41" s="3"/>
      <c r="D41" s="19" t="s">
        <v>50</v>
      </c>
      <c r="E41" s="3">
        <f>SUM(AS5:AS23)/4</f>
        <v>1.2407407407407407</v>
      </c>
      <c r="F41" s="3" t="str">
        <f t="shared" si="0"/>
        <v>High-level Resistance</v>
      </c>
      <c r="G41" s="23" t="s">
        <v>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3.2" x14ac:dyDescent="0.25">
      <c r="A42" s="6"/>
      <c r="B42" s="4"/>
      <c r="C42" s="3"/>
      <c r="D42" s="20" t="s">
        <v>59</v>
      </c>
      <c r="E42" s="3">
        <v>0.14814814814814814</v>
      </c>
      <c r="F42" s="3" t="str">
        <f t="shared" si="0"/>
        <v>Low-level Resistance</v>
      </c>
      <c r="G42" s="23" t="s">
        <v>12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3.2" x14ac:dyDescent="0.25">
      <c r="A43" s="6"/>
      <c r="B43" s="4"/>
      <c r="C43" s="3"/>
      <c r="D43" s="21" t="s">
        <v>61</v>
      </c>
      <c r="E43" s="3">
        <v>0.37037037037037035</v>
      </c>
      <c r="F43" s="3" t="str">
        <f t="shared" si="0"/>
        <v>Moderate-level Resistance</v>
      </c>
      <c r="G43" s="23" t="s">
        <v>15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3.2" x14ac:dyDescent="0.25">
      <c r="A44" s="6"/>
      <c r="B44" s="4"/>
      <c r="C44" s="3"/>
      <c r="D44" s="22" t="s">
        <v>66</v>
      </c>
      <c r="E44" s="3">
        <v>3.7037037037037035E-2</v>
      </c>
      <c r="F44" s="3" t="str">
        <f t="shared" si="0"/>
        <v>Low-level Resistance</v>
      </c>
      <c r="G44" s="23" t="s">
        <v>17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3.2" x14ac:dyDescent="0.25">
      <c r="A45" s="6"/>
      <c r="B45" s="4"/>
      <c r="C45" s="3"/>
      <c r="D45" s="3"/>
      <c r="E45" s="3"/>
      <c r="F45" s="3"/>
      <c r="G45" s="23" t="s">
        <v>18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3.2" x14ac:dyDescent="0.25">
      <c r="A46" s="6"/>
      <c r="B46" s="4"/>
      <c r="C46" s="3"/>
      <c r="D46" s="3"/>
      <c r="E46" s="3"/>
      <c r="F46" s="3"/>
      <c r="G46" s="23" t="s">
        <v>19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3.2" x14ac:dyDescent="0.25">
      <c r="A47" s="6"/>
      <c r="B47" s="4"/>
      <c r="C47" s="3"/>
      <c r="D47" s="3"/>
      <c r="E47" s="3"/>
      <c r="F47" s="3"/>
      <c r="G47" s="23" t="s">
        <v>20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3.2" x14ac:dyDescent="0.25">
      <c r="A48" s="6"/>
      <c r="B48" s="4"/>
      <c r="C48" s="3"/>
      <c r="D48" s="3"/>
      <c r="E48" s="3"/>
      <c r="F48" s="3"/>
      <c r="G48" s="23" t="s">
        <v>22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3.2" x14ac:dyDescent="0.25">
      <c r="A49" s="6"/>
      <c r="B49" s="4"/>
      <c r="C49" s="3"/>
      <c r="D49" s="3"/>
      <c r="E49" s="3"/>
      <c r="F49" s="3"/>
      <c r="G49" s="23" t="s">
        <v>24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3.2" x14ac:dyDescent="0.25">
      <c r="A50" s="6"/>
      <c r="B50" s="4"/>
      <c r="C50" s="3"/>
      <c r="D50" s="3"/>
      <c r="E50" s="3"/>
      <c r="F50" s="3"/>
      <c r="G50" s="23" t="s">
        <v>28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3.2" x14ac:dyDescent="0.25">
      <c r="A51" s="6"/>
      <c r="B51" s="4"/>
      <c r="C51" s="3"/>
      <c r="D51" s="3"/>
      <c r="E51" s="3"/>
      <c r="F51" s="3"/>
      <c r="G51" s="23" t="s">
        <v>30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3.2" x14ac:dyDescent="0.25">
      <c r="A52" s="6"/>
      <c r="B52" s="4"/>
      <c r="C52" s="3"/>
      <c r="D52" s="3"/>
      <c r="E52" s="3"/>
      <c r="F52" s="3"/>
      <c r="G52" s="23" t="s">
        <v>33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3.2" x14ac:dyDescent="0.25">
      <c r="A53" s="6"/>
      <c r="B53" s="4"/>
      <c r="C53" s="3"/>
      <c r="D53" s="3"/>
      <c r="E53" s="3"/>
      <c r="F53" s="3"/>
      <c r="G53" s="23" t="s">
        <v>35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3.2" x14ac:dyDescent="0.25">
      <c r="A54" s="6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3.2" x14ac:dyDescent="0.25">
      <c r="A55" s="6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3.2" x14ac:dyDescent="0.25">
      <c r="A56" s="6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3.2" x14ac:dyDescent="0.25">
      <c r="A57" s="6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3.2" x14ac:dyDescent="0.25">
      <c r="A58" s="6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3.2" x14ac:dyDescent="0.25">
      <c r="A59" s="6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3.2" x14ac:dyDescent="0.25">
      <c r="A60" s="6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3.2" x14ac:dyDescent="0.25">
      <c r="A61" s="6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3.2" x14ac:dyDescent="0.25">
      <c r="A62" s="6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3.2" x14ac:dyDescent="0.25">
      <c r="A63" s="6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3.2" x14ac:dyDescent="0.25">
      <c r="A64" s="6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3.2" x14ac:dyDescent="0.25">
      <c r="A65" s="6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3.2" x14ac:dyDescent="0.25">
      <c r="A66" s="6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3.2" x14ac:dyDescent="0.25">
      <c r="A67" s="6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3.2" x14ac:dyDescent="0.25">
      <c r="A68" s="6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13.2" x14ac:dyDescent="0.25">
      <c r="A69" s="6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3.2" x14ac:dyDescent="0.25">
      <c r="A70" s="6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3.2" x14ac:dyDescent="0.25">
      <c r="A71" s="6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3.2" x14ac:dyDescent="0.25">
      <c r="A72" s="6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3.2" x14ac:dyDescent="0.25">
      <c r="A73" s="6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3.2" x14ac:dyDescent="0.25">
      <c r="A74" s="6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3.2" x14ac:dyDescent="0.25">
      <c r="A75" s="6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3.2" x14ac:dyDescent="0.25">
      <c r="A76" s="6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13.2" x14ac:dyDescent="0.25">
      <c r="A77" s="6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3.2" x14ac:dyDescent="0.25">
      <c r="A78" s="6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3.2" x14ac:dyDescent="0.25">
      <c r="A79" s="6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13.2" x14ac:dyDescent="0.25">
      <c r="A80" s="6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3.2" x14ac:dyDescent="0.25">
      <c r="A81" s="6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3.2" x14ac:dyDescent="0.25">
      <c r="A82" s="6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3.2" x14ac:dyDescent="0.25">
      <c r="A83" s="6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3.2" x14ac:dyDescent="0.25">
      <c r="A84" s="6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3.2" x14ac:dyDescent="0.25">
      <c r="A85" s="6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3.2" x14ac:dyDescent="0.25">
      <c r="A86" s="6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3.2" x14ac:dyDescent="0.25">
      <c r="A87" s="6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3.2" x14ac:dyDescent="0.25">
      <c r="A88" s="6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3.2" x14ac:dyDescent="0.25">
      <c r="A89" s="6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3.2" x14ac:dyDescent="0.25">
      <c r="A90" s="6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3.2" x14ac:dyDescent="0.25">
      <c r="A91" s="6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3.2" x14ac:dyDescent="0.25">
      <c r="A92" s="6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3.2" x14ac:dyDescent="0.25">
      <c r="A93" s="6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3.2" x14ac:dyDescent="0.25">
      <c r="A94" s="6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3.2" x14ac:dyDescent="0.25">
      <c r="A95" s="6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3.2" x14ac:dyDescent="0.25">
      <c r="A96" s="6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3.2" x14ac:dyDescent="0.25">
      <c r="A97" s="6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3.2" x14ac:dyDescent="0.25">
      <c r="A98" s="6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3.2" x14ac:dyDescent="0.25">
      <c r="A99" s="6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3.2" x14ac:dyDescent="0.25">
      <c r="A100" s="6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3.2" x14ac:dyDescent="0.25">
      <c r="A101" s="6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3.2" x14ac:dyDescent="0.25">
      <c r="A102" s="6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3.2" x14ac:dyDescent="0.25">
      <c r="A103" s="6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3.2" x14ac:dyDescent="0.25">
      <c r="A104" s="6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3.2" x14ac:dyDescent="0.25">
      <c r="A105" s="6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3.2" x14ac:dyDescent="0.25">
      <c r="A106" s="6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3.2" x14ac:dyDescent="0.25">
      <c r="A107" s="6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3.2" x14ac:dyDescent="0.25">
      <c r="A108" s="6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3.2" x14ac:dyDescent="0.25">
      <c r="A109" s="6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3.2" x14ac:dyDescent="0.25">
      <c r="A110" s="6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13.2" x14ac:dyDescent="0.25">
      <c r="A111" s="6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3.2" x14ac:dyDescent="0.25">
      <c r="A112" s="6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3.2" x14ac:dyDescent="0.25">
      <c r="A113" s="6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3.2" x14ac:dyDescent="0.25">
      <c r="A114" s="6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3.2" x14ac:dyDescent="0.25">
      <c r="A115" s="6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3.2" x14ac:dyDescent="0.25">
      <c r="A116" s="6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3.2" x14ac:dyDescent="0.25">
      <c r="A117" s="6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3.2" x14ac:dyDescent="0.25">
      <c r="A118" s="6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13.2" x14ac:dyDescent="0.25">
      <c r="A119" s="6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3.2" x14ac:dyDescent="0.25">
      <c r="A120" s="6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3.2" x14ac:dyDescent="0.25">
      <c r="A121" s="6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13.2" x14ac:dyDescent="0.25">
      <c r="A122" s="6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3.2" x14ac:dyDescent="0.25">
      <c r="A123" s="6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3.2" x14ac:dyDescent="0.25">
      <c r="A124" s="6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3.2" x14ac:dyDescent="0.25">
      <c r="A125" s="6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3.2" x14ac:dyDescent="0.25">
      <c r="A126" s="6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3.2" x14ac:dyDescent="0.25">
      <c r="A127" s="6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3.2" x14ac:dyDescent="0.25">
      <c r="A128" s="6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3.2" x14ac:dyDescent="0.25">
      <c r="A129" s="6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3.2" x14ac:dyDescent="0.25">
      <c r="A130" s="6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3.2" x14ac:dyDescent="0.25">
      <c r="A131" s="6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3.2" x14ac:dyDescent="0.25">
      <c r="A132" s="6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3.2" x14ac:dyDescent="0.25">
      <c r="A133" s="6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3.2" x14ac:dyDescent="0.25">
      <c r="A134" s="6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3.2" x14ac:dyDescent="0.25">
      <c r="A135" s="6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3.2" x14ac:dyDescent="0.25">
      <c r="A136" s="6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3.2" x14ac:dyDescent="0.25">
      <c r="A137" s="6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3.2" x14ac:dyDescent="0.25">
      <c r="A138" s="6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3.2" x14ac:dyDescent="0.25">
      <c r="A139" s="6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3.2" x14ac:dyDescent="0.25">
      <c r="A140" s="6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3.2" x14ac:dyDescent="0.25">
      <c r="A141" s="6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3.2" x14ac:dyDescent="0.25">
      <c r="A142" s="6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3.2" x14ac:dyDescent="0.25">
      <c r="A143" s="6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3.2" x14ac:dyDescent="0.25">
      <c r="A144" s="6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3.2" x14ac:dyDescent="0.25">
      <c r="A145" s="6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3.2" x14ac:dyDescent="0.25">
      <c r="A146" s="6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3.2" x14ac:dyDescent="0.25">
      <c r="A147" s="6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3.2" x14ac:dyDescent="0.25">
      <c r="A148" s="6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3.2" x14ac:dyDescent="0.25">
      <c r="A149" s="6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3.2" x14ac:dyDescent="0.25">
      <c r="A150" s="6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3.2" x14ac:dyDescent="0.25">
      <c r="A151" s="6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3.2" x14ac:dyDescent="0.25">
      <c r="A152" s="6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13.2" x14ac:dyDescent="0.25">
      <c r="A153" s="6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3.2" x14ac:dyDescent="0.25">
      <c r="A154" s="6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3.2" x14ac:dyDescent="0.25">
      <c r="A155" s="6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3.2" x14ac:dyDescent="0.25">
      <c r="A156" s="6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3.2" x14ac:dyDescent="0.25">
      <c r="A157" s="6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3.2" x14ac:dyDescent="0.25">
      <c r="A158" s="6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3.2" x14ac:dyDescent="0.25">
      <c r="A159" s="6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3.2" x14ac:dyDescent="0.25">
      <c r="A160" s="6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13.2" x14ac:dyDescent="0.25">
      <c r="A161" s="6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3.2" x14ac:dyDescent="0.25">
      <c r="A162" s="6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3.2" x14ac:dyDescent="0.25">
      <c r="A163" s="6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13.2" x14ac:dyDescent="0.25">
      <c r="A164" s="6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3.2" x14ac:dyDescent="0.25">
      <c r="A165" s="6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3.2" x14ac:dyDescent="0.25">
      <c r="A166" s="6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3.2" x14ac:dyDescent="0.25">
      <c r="A167" s="6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3.2" x14ac:dyDescent="0.25">
      <c r="A168" s="6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3.2" x14ac:dyDescent="0.25">
      <c r="A169" s="6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3.2" x14ac:dyDescent="0.25">
      <c r="A170" s="6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3.2" x14ac:dyDescent="0.25">
      <c r="A171" s="6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3.2" x14ac:dyDescent="0.25">
      <c r="A172" s="6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3.2" x14ac:dyDescent="0.25">
      <c r="A173" s="6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13.2" x14ac:dyDescent="0.25">
      <c r="A174" s="6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3.2" x14ac:dyDescent="0.25">
      <c r="A175" s="6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3.2" x14ac:dyDescent="0.25">
      <c r="A176" s="6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3.2" x14ac:dyDescent="0.25">
      <c r="A177" s="6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3.2" x14ac:dyDescent="0.25">
      <c r="A178" s="6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13.2" x14ac:dyDescent="0.25">
      <c r="A179" s="6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3.2" x14ac:dyDescent="0.25">
      <c r="A180" s="6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3.2" x14ac:dyDescent="0.25">
      <c r="A181" s="6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3.2" x14ac:dyDescent="0.25">
      <c r="A182" s="6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3.2" x14ac:dyDescent="0.25">
      <c r="A183" s="6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13.2" x14ac:dyDescent="0.25">
      <c r="A184" s="6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3.2" x14ac:dyDescent="0.25">
      <c r="A185" s="6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3.2" x14ac:dyDescent="0.25">
      <c r="A186" s="6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3.2" x14ac:dyDescent="0.25">
      <c r="A187" s="6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3.2" x14ac:dyDescent="0.25">
      <c r="A188" s="6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13.2" x14ac:dyDescent="0.25">
      <c r="A189" s="6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3.2" x14ac:dyDescent="0.25">
      <c r="A190" s="6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3.2" x14ac:dyDescent="0.25">
      <c r="A191" s="6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3.2" x14ac:dyDescent="0.25">
      <c r="A192" s="6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3.2" x14ac:dyDescent="0.25">
      <c r="A193" s="6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13.2" x14ac:dyDescent="0.25">
      <c r="A194" s="6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13.2" x14ac:dyDescent="0.25">
      <c r="A195" s="6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3.2" x14ac:dyDescent="0.25">
      <c r="A196" s="6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3.2" x14ac:dyDescent="0.25">
      <c r="A197" s="6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13.2" x14ac:dyDescent="0.25">
      <c r="A198" s="6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3.2" x14ac:dyDescent="0.25">
      <c r="A199" s="6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3.2" x14ac:dyDescent="0.25">
      <c r="A200" s="6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3.2" x14ac:dyDescent="0.25">
      <c r="A201" s="6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3.2" x14ac:dyDescent="0.25">
      <c r="A202" s="6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13.2" x14ac:dyDescent="0.25">
      <c r="A203" s="6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3.2" x14ac:dyDescent="0.25">
      <c r="A204" s="6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3.2" x14ac:dyDescent="0.25">
      <c r="A205" s="6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13.2" x14ac:dyDescent="0.25">
      <c r="A206" s="6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3.2" x14ac:dyDescent="0.25">
      <c r="A207" s="6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3.2" x14ac:dyDescent="0.25">
      <c r="A208" s="6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3.2" x14ac:dyDescent="0.25">
      <c r="A209" s="6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3.2" x14ac:dyDescent="0.25">
      <c r="A210" s="6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3.2" x14ac:dyDescent="0.25">
      <c r="A211" s="6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3.2" x14ac:dyDescent="0.25">
      <c r="A212" s="6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3.2" x14ac:dyDescent="0.25">
      <c r="A213" s="6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3.2" x14ac:dyDescent="0.25">
      <c r="A214" s="6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3.2" x14ac:dyDescent="0.25">
      <c r="A215" s="6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3.2" x14ac:dyDescent="0.25">
      <c r="A216" s="6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13.2" x14ac:dyDescent="0.25">
      <c r="A217" s="6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3.2" x14ac:dyDescent="0.25">
      <c r="A218" s="6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3.2" x14ac:dyDescent="0.25">
      <c r="A219" s="6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3.2" x14ac:dyDescent="0.25">
      <c r="A220" s="6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3.2" x14ac:dyDescent="0.25">
      <c r="A221" s="6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3.2" x14ac:dyDescent="0.25">
      <c r="A222" s="6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3.2" x14ac:dyDescent="0.25">
      <c r="A223" s="6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3.2" x14ac:dyDescent="0.25">
      <c r="A224" s="6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3.2" x14ac:dyDescent="0.25">
      <c r="A225" s="6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3.2" x14ac:dyDescent="0.25">
      <c r="A226" s="6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3.2" x14ac:dyDescent="0.25">
      <c r="A227" s="6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3.2" x14ac:dyDescent="0.25">
      <c r="A228" s="6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3.2" x14ac:dyDescent="0.25">
      <c r="A229" s="6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3.2" x14ac:dyDescent="0.25">
      <c r="A230" s="6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3.2" x14ac:dyDescent="0.25">
      <c r="A231" s="6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3.2" x14ac:dyDescent="0.25">
      <c r="A232" s="6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3.2" x14ac:dyDescent="0.25">
      <c r="A233" s="6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3.2" x14ac:dyDescent="0.25">
      <c r="A234" s="6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3.2" x14ac:dyDescent="0.25">
      <c r="A235" s="6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13.2" x14ac:dyDescent="0.25">
      <c r="A236" s="6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13.2" x14ac:dyDescent="0.25">
      <c r="A237" s="6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3.2" x14ac:dyDescent="0.25">
      <c r="A238" s="6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3.2" x14ac:dyDescent="0.25">
      <c r="A239" s="6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13.2" x14ac:dyDescent="0.25">
      <c r="A240" s="6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3.2" x14ac:dyDescent="0.25">
      <c r="A241" s="6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3.2" x14ac:dyDescent="0.25">
      <c r="A242" s="6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3.2" x14ac:dyDescent="0.25">
      <c r="A243" s="6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3.2" x14ac:dyDescent="0.25">
      <c r="A244" s="6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13.2" x14ac:dyDescent="0.25">
      <c r="A245" s="6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3.2" x14ac:dyDescent="0.25">
      <c r="A246" s="6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13.2" x14ac:dyDescent="0.25">
      <c r="A247" s="6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13.2" x14ac:dyDescent="0.25">
      <c r="A248" s="6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3.2" x14ac:dyDescent="0.25">
      <c r="A249" s="6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3.2" x14ac:dyDescent="0.25">
      <c r="A250" s="6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3.2" x14ac:dyDescent="0.25">
      <c r="A251" s="6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3.2" x14ac:dyDescent="0.25">
      <c r="A252" s="6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13.2" x14ac:dyDescent="0.25">
      <c r="A253" s="6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3.2" x14ac:dyDescent="0.25">
      <c r="A254" s="6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3.2" x14ac:dyDescent="0.25">
      <c r="A255" s="6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3.2" x14ac:dyDescent="0.25">
      <c r="A256" s="6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3.2" x14ac:dyDescent="0.25">
      <c r="A257" s="6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3.2" x14ac:dyDescent="0.25">
      <c r="A258" s="6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13.2" x14ac:dyDescent="0.25">
      <c r="A259" s="6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3.2" x14ac:dyDescent="0.25">
      <c r="A260" s="6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3.2" x14ac:dyDescent="0.25">
      <c r="A261" s="6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3.2" x14ac:dyDescent="0.25">
      <c r="A262" s="6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3.2" x14ac:dyDescent="0.25">
      <c r="A263" s="6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3.2" x14ac:dyDescent="0.25">
      <c r="A264" s="6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3.2" x14ac:dyDescent="0.25">
      <c r="A265" s="6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3.2" x14ac:dyDescent="0.25">
      <c r="A266" s="6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3.2" x14ac:dyDescent="0.25">
      <c r="A267" s="6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3.2" x14ac:dyDescent="0.25">
      <c r="A268" s="6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13.2" x14ac:dyDescent="0.25">
      <c r="A269" s="6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3.2" x14ac:dyDescent="0.25">
      <c r="A270" s="6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3.2" x14ac:dyDescent="0.25">
      <c r="A271" s="6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3.2" x14ac:dyDescent="0.25">
      <c r="A272" s="6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13.2" x14ac:dyDescent="0.25">
      <c r="A273" s="6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13.2" x14ac:dyDescent="0.25">
      <c r="A274" s="6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3.2" x14ac:dyDescent="0.25">
      <c r="A275" s="6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3.2" x14ac:dyDescent="0.25">
      <c r="A276" s="6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3.2" x14ac:dyDescent="0.25">
      <c r="A277" s="6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3.2" x14ac:dyDescent="0.25">
      <c r="A278" s="6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13.2" x14ac:dyDescent="0.25">
      <c r="A279" s="6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3.2" x14ac:dyDescent="0.25">
      <c r="A280" s="6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13.2" x14ac:dyDescent="0.25">
      <c r="A281" s="6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3.2" x14ac:dyDescent="0.25">
      <c r="A282" s="6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3.2" x14ac:dyDescent="0.25">
      <c r="A283" s="6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3.2" x14ac:dyDescent="0.25">
      <c r="A284" s="6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3.2" x14ac:dyDescent="0.25">
      <c r="A285" s="6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3.2" x14ac:dyDescent="0.25">
      <c r="A286" s="6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13.2" x14ac:dyDescent="0.25">
      <c r="A287" s="6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13.2" x14ac:dyDescent="0.25">
      <c r="A288" s="6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3.2" x14ac:dyDescent="0.25">
      <c r="A289" s="6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13.2" x14ac:dyDescent="0.25">
      <c r="A290" s="6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3.2" x14ac:dyDescent="0.25">
      <c r="A291" s="6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13.2" x14ac:dyDescent="0.25">
      <c r="A292" s="6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3.2" x14ac:dyDescent="0.25">
      <c r="A293" s="6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3.2" x14ac:dyDescent="0.25">
      <c r="A294" s="6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3.2" x14ac:dyDescent="0.25">
      <c r="A295" s="6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3.2" x14ac:dyDescent="0.25">
      <c r="A296" s="6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3.2" x14ac:dyDescent="0.25">
      <c r="A297" s="6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3.2" x14ac:dyDescent="0.25">
      <c r="A298" s="6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3.2" x14ac:dyDescent="0.25">
      <c r="A299" s="6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13.2" x14ac:dyDescent="0.25">
      <c r="A300" s="6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13.2" x14ac:dyDescent="0.25">
      <c r="A301" s="6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3.2" x14ac:dyDescent="0.25">
      <c r="A302" s="6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3.2" x14ac:dyDescent="0.25">
      <c r="A303" s="6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3.2" x14ac:dyDescent="0.25">
      <c r="A304" s="6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3.2" x14ac:dyDescent="0.25">
      <c r="A305" s="6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3.2" x14ac:dyDescent="0.25">
      <c r="A306" s="6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3.2" x14ac:dyDescent="0.25">
      <c r="A307" s="6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3.2" x14ac:dyDescent="0.25">
      <c r="A308" s="6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3.2" x14ac:dyDescent="0.25">
      <c r="A309" s="6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3.2" x14ac:dyDescent="0.25">
      <c r="A310" s="6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3.2" x14ac:dyDescent="0.25">
      <c r="A311" s="6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3.2" x14ac:dyDescent="0.25">
      <c r="A312" s="6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3.2" x14ac:dyDescent="0.25">
      <c r="A313" s="6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3.2" x14ac:dyDescent="0.25">
      <c r="A314" s="6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3.2" x14ac:dyDescent="0.25">
      <c r="A315" s="6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3.2" x14ac:dyDescent="0.25">
      <c r="A316" s="6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3.2" x14ac:dyDescent="0.25">
      <c r="A317" s="6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3.2" x14ac:dyDescent="0.25">
      <c r="A318" s="6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3.2" x14ac:dyDescent="0.25">
      <c r="A319" s="6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3.2" x14ac:dyDescent="0.25">
      <c r="A320" s="6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13.2" x14ac:dyDescent="0.25">
      <c r="A321" s="6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13.2" x14ac:dyDescent="0.25">
      <c r="A322" s="6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13.2" x14ac:dyDescent="0.25">
      <c r="A323" s="6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3.2" x14ac:dyDescent="0.25">
      <c r="A324" s="6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3.2" x14ac:dyDescent="0.25">
      <c r="A325" s="6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3.2" x14ac:dyDescent="0.25">
      <c r="A326" s="6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3.2" x14ac:dyDescent="0.25">
      <c r="A327" s="6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3.2" x14ac:dyDescent="0.25">
      <c r="A328" s="6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13.2" x14ac:dyDescent="0.25">
      <c r="A329" s="6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3.2" x14ac:dyDescent="0.25">
      <c r="A330" s="6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3.2" x14ac:dyDescent="0.25">
      <c r="A331" s="6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13.2" x14ac:dyDescent="0.25">
      <c r="A332" s="6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3.2" x14ac:dyDescent="0.25">
      <c r="A333" s="6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3.2" x14ac:dyDescent="0.25">
      <c r="A334" s="6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13.2" x14ac:dyDescent="0.25">
      <c r="A335" s="6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3.2" x14ac:dyDescent="0.25">
      <c r="A336" s="6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3.2" x14ac:dyDescent="0.25">
      <c r="A337" s="6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3.2" x14ac:dyDescent="0.25">
      <c r="A338" s="6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3.2" x14ac:dyDescent="0.25">
      <c r="A339" s="6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3.2" x14ac:dyDescent="0.25">
      <c r="A340" s="6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3.2" x14ac:dyDescent="0.25">
      <c r="A341" s="6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3.2" x14ac:dyDescent="0.25">
      <c r="A342" s="6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3.2" x14ac:dyDescent="0.25">
      <c r="A343" s="6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3.2" x14ac:dyDescent="0.25">
      <c r="A344" s="6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3.2" x14ac:dyDescent="0.25">
      <c r="A345" s="6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3.2" x14ac:dyDescent="0.25">
      <c r="A346" s="6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3.2" x14ac:dyDescent="0.25">
      <c r="A347" s="6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3.2" x14ac:dyDescent="0.25">
      <c r="A348" s="6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3.2" x14ac:dyDescent="0.25">
      <c r="A349" s="6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3.2" x14ac:dyDescent="0.25">
      <c r="A350" s="6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3.2" x14ac:dyDescent="0.25">
      <c r="A351" s="6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3.2" x14ac:dyDescent="0.25">
      <c r="A352" s="6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3.2" x14ac:dyDescent="0.25">
      <c r="A353" s="6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3.2" x14ac:dyDescent="0.25">
      <c r="A354" s="6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3.2" x14ac:dyDescent="0.25">
      <c r="A355" s="6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3.2" x14ac:dyDescent="0.25">
      <c r="A356" s="6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3.2" x14ac:dyDescent="0.25">
      <c r="A357" s="6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13.2" x14ac:dyDescent="0.25">
      <c r="A358" s="6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3.2" x14ac:dyDescent="0.25">
      <c r="A359" s="6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3.2" x14ac:dyDescent="0.25">
      <c r="A360" s="6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3.2" x14ac:dyDescent="0.25">
      <c r="A361" s="6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3.2" x14ac:dyDescent="0.25">
      <c r="A362" s="6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13.2" x14ac:dyDescent="0.25">
      <c r="A363" s="6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3.2" x14ac:dyDescent="0.25">
      <c r="A364" s="6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3.2" x14ac:dyDescent="0.25">
      <c r="A365" s="6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3.2" x14ac:dyDescent="0.25">
      <c r="A366" s="6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3.2" x14ac:dyDescent="0.25">
      <c r="A367" s="6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3.2" x14ac:dyDescent="0.25">
      <c r="A368" s="6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3.2" x14ac:dyDescent="0.25">
      <c r="A369" s="6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3.2" x14ac:dyDescent="0.25">
      <c r="A370" s="6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13.2" x14ac:dyDescent="0.25">
      <c r="A371" s="6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3.2" x14ac:dyDescent="0.25">
      <c r="A372" s="6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3.2" x14ac:dyDescent="0.25">
      <c r="A373" s="6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13.2" x14ac:dyDescent="0.25">
      <c r="A374" s="6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1:44" ht="13.2" x14ac:dyDescent="0.25">
      <c r="A375" s="6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3.2" x14ac:dyDescent="0.25">
      <c r="A376" s="6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1:44" ht="13.2" x14ac:dyDescent="0.25">
      <c r="A377" s="6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3.2" x14ac:dyDescent="0.25">
      <c r="A378" s="6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3.2" x14ac:dyDescent="0.25">
      <c r="A379" s="6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3.2" x14ac:dyDescent="0.25">
      <c r="A380" s="6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3.2" x14ac:dyDescent="0.25">
      <c r="A381" s="6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3.2" x14ac:dyDescent="0.25">
      <c r="A382" s="6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3.2" x14ac:dyDescent="0.25">
      <c r="A383" s="6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3.2" x14ac:dyDescent="0.25">
      <c r="A384" s="6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3.2" x14ac:dyDescent="0.25">
      <c r="A385" s="6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13.2" x14ac:dyDescent="0.25">
      <c r="A386" s="6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13.2" x14ac:dyDescent="0.25">
      <c r="A387" s="6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3.2" x14ac:dyDescent="0.25">
      <c r="A388" s="6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3.2" x14ac:dyDescent="0.25">
      <c r="A389" s="6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3.2" x14ac:dyDescent="0.25">
      <c r="A390" s="6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3.2" x14ac:dyDescent="0.25">
      <c r="A391" s="6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3.2" x14ac:dyDescent="0.25">
      <c r="A392" s="6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3.2" x14ac:dyDescent="0.25">
      <c r="A393" s="6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3.2" x14ac:dyDescent="0.25">
      <c r="A394" s="6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13.2" x14ac:dyDescent="0.25">
      <c r="A395" s="6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3.2" x14ac:dyDescent="0.25">
      <c r="A396" s="6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3.2" x14ac:dyDescent="0.25">
      <c r="A397" s="6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3.2" x14ac:dyDescent="0.25">
      <c r="A398" s="6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3.2" x14ac:dyDescent="0.25">
      <c r="A399" s="6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3.2" x14ac:dyDescent="0.25">
      <c r="A400" s="6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3.2" x14ac:dyDescent="0.25">
      <c r="A401" s="6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3.2" x14ac:dyDescent="0.25">
      <c r="A402" s="6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3.2" x14ac:dyDescent="0.25">
      <c r="A403" s="6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3.2" x14ac:dyDescent="0.25">
      <c r="A404" s="6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13.2" x14ac:dyDescent="0.25">
      <c r="A405" s="6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3.2" x14ac:dyDescent="0.25">
      <c r="A406" s="6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3.2" x14ac:dyDescent="0.25">
      <c r="A407" s="6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3.2" x14ac:dyDescent="0.25">
      <c r="A408" s="6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3.2" x14ac:dyDescent="0.25">
      <c r="A409" s="6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3.2" x14ac:dyDescent="0.25">
      <c r="A410" s="6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3.2" x14ac:dyDescent="0.25">
      <c r="A411" s="6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3.2" x14ac:dyDescent="0.25">
      <c r="A412" s="6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13.2" x14ac:dyDescent="0.25">
      <c r="A413" s="6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3.2" x14ac:dyDescent="0.25">
      <c r="A414" s="6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3.2" x14ac:dyDescent="0.25">
      <c r="A415" s="6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3.2" x14ac:dyDescent="0.25">
      <c r="A416" s="6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3.2" x14ac:dyDescent="0.25">
      <c r="A417" s="6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3.2" x14ac:dyDescent="0.25">
      <c r="A418" s="6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3.2" x14ac:dyDescent="0.25">
      <c r="A419" s="6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3.2" x14ac:dyDescent="0.25">
      <c r="A420" s="6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3.2" x14ac:dyDescent="0.25">
      <c r="A421" s="6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3.2" x14ac:dyDescent="0.25">
      <c r="A422" s="6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3.2" x14ac:dyDescent="0.25">
      <c r="A423" s="6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3.2" x14ac:dyDescent="0.25">
      <c r="A424" s="6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3.2" x14ac:dyDescent="0.25">
      <c r="A425" s="6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3.2" x14ac:dyDescent="0.25">
      <c r="A426" s="6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3.2" x14ac:dyDescent="0.25">
      <c r="A427" s="6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3.2" x14ac:dyDescent="0.25">
      <c r="A428" s="6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3.2" x14ac:dyDescent="0.25">
      <c r="A429" s="6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3.2" x14ac:dyDescent="0.25">
      <c r="A430" s="6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3.2" x14ac:dyDescent="0.25">
      <c r="A431" s="6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3.2" x14ac:dyDescent="0.25">
      <c r="A432" s="6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3.2" x14ac:dyDescent="0.25">
      <c r="A433" s="6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3.2" x14ac:dyDescent="0.25">
      <c r="A434" s="6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3.2" x14ac:dyDescent="0.25">
      <c r="A435" s="6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3.2" x14ac:dyDescent="0.25">
      <c r="A436" s="6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3.2" x14ac:dyDescent="0.25">
      <c r="A437" s="6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3.2" x14ac:dyDescent="0.25">
      <c r="A438" s="6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3.2" x14ac:dyDescent="0.25">
      <c r="A439" s="6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3.2" x14ac:dyDescent="0.25">
      <c r="A440" s="6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13.2" x14ac:dyDescent="0.25">
      <c r="A441" s="6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3.2" x14ac:dyDescent="0.25">
      <c r="A442" s="6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3.2" x14ac:dyDescent="0.25">
      <c r="A443" s="6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3.2" x14ac:dyDescent="0.25">
      <c r="A444" s="6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3.2" x14ac:dyDescent="0.25">
      <c r="A445" s="6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3.2" x14ac:dyDescent="0.25">
      <c r="A446" s="6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3.2" x14ac:dyDescent="0.25">
      <c r="A447" s="6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3.2" x14ac:dyDescent="0.25">
      <c r="A448" s="6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13.2" x14ac:dyDescent="0.25">
      <c r="A449" s="6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3.2" x14ac:dyDescent="0.25">
      <c r="A450" s="6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3.2" x14ac:dyDescent="0.25">
      <c r="A451" s="6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3.2" x14ac:dyDescent="0.25">
      <c r="A452" s="6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3.2" x14ac:dyDescent="0.25">
      <c r="A453" s="6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3.2" x14ac:dyDescent="0.25">
      <c r="A454" s="6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13.2" x14ac:dyDescent="0.25">
      <c r="A455" s="6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3.2" x14ac:dyDescent="0.25">
      <c r="A456" s="6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3.2" x14ac:dyDescent="0.25">
      <c r="A457" s="6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13.2" x14ac:dyDescent="0.25">
      <c r="A458" s="6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3.2" x14ac:dyDescent="0.25">
      <c r="A459" s="6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3.2" x14ac:dyDescent="0.25">
      <c r="A460" s="6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3.2" x14ac:dyDescent="0.25">
      <c r="A461" s="6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13.2" x14ac:dyDescent="0.25">
      <c r="A462" s="6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3.2" x14ac:dyDescent="0.25">
      <c r="A463" s="6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3.2" x14ac:dyDescent="0.25">
      <c r="A464" s="6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3.2" x14ac:dyDescent="0.25">
      <c r="A465" s="6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3.2" x14ac:dyDescent="0.25">
      <c r="A466" s="6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3.2" x14ac:dyDescent="0.25">
      <c r="A467" s="6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3.2" x14ac:dyDescent="0.25">
      <c r="A468" s="6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13.2" x14ac:dyDescent="0.25">
      <c r="A469" s="6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3.2" x14ac:dyDescent="0.25">
      <c r="A470" s="6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3.2" x14ac:dyDescent="0.25">
      <c r="A471" s="6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3.2" x14ac:dyDescent="0.25">
      <c r="A472" s="6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3.2" x14ac:dyDescent="0.25">
      <c r="A473" s="6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3.2" x14ac:dyDescent="0.25">
      <c r="A474" s="6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3.2" x14ac:dyDescent="0.25">
      <c r="A475" s="6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3.2" x14ac:dyDescent="0.25">
      <c r="A476" s="6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3.2" x14ac:dyDescent="0.25">
      <c r="A477" s="6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3.2" x14ac:dyDescent="0.25">
      <c r="A478" s="6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3.2" x14ac:dyDescent="0.25">
      <c r="A479" s="6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3.2" x14ac:dyDescent="0.25">
      <c r="A480" s="6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3.2" x14ac:dyDescent="0.25">
      <c r="A481" s="6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3.2" x14ac:dyDescent="0.25">
      <c r="A482" s="6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3.2" x14ac:dyDescent="0.25">
      <c r="A483" s="6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3.2" x14ac:dyDescent="0.25">
      <c r="A484" s="6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3.2" x14ac:dyDescent="0.25">
      <c r="A485" s="6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3.2" x14ac:dyDescent="0.25">
      <c r="A486" s="6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13.2" x14ac:dyDescent="0.25">
      <c r="A487" s="6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3.2" x14ac:dyDescent="0.25">
      <c r="A488" s="6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13.2" x14ac:dyDescent="0.25">
      <c r="A489" s="6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3.2" x14ac:dyDescent="0.25">
      <c r="A490" s="6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13.2" x14ac:dyDescent="0.25">
      <c r="A491" s="6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3.2" x14ac:dyDescent="0.25">
      <c r="A492" s="6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3.2" x14ac:dyDescent="0.25">
      <c r="A493" s="6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3.2" x14ac:dyDescent="0.25">
      <c r="A494" s="6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3.2" x14ac:dyDescent="0.25">
      <c r="A495" s="6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3.2" x14ac:dyDescent="0.25">
      <c r="A496" s="6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13.2" x14ac:dyDescent="0.25">
      <c r="A497" s="6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3.2" x14ac:dyDescent="0.25">
      <c r="A498" s="6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3.2" x14ac:dyDescent="0.25">
      <c r="A499" s="6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3.2" x14ac:dyDescent="0.25">
      <c r="A500" s="6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3.2" x14ac:dyDescent="0.25">
      <c r="A501" s="6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3.2" x14ac:dyDescent="0.25">
      <c r="A502" s="6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3.2" x14ac:dyDescent="0.25">
      <c r="A503" s="6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3.2" x14ac:dyDescent="0.25">
      <c r="A504" s="6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3.2" x14ac:dyDescent="0.25">
      <c r="A505" s="6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3.2" x14ac:dyDescent="0.25">
      <c r="A506" s="6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3.2" x14ac:dyDescent="0.25">
      <c r="A507" s="6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13.2" x14ac:dyDescent="0.25">
      <c r="A508" s="6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13.2" x14ac:dyDescent="0.25">
      <c r="A509" s="6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3.2" x14ac:dyDescent="0.25">
      <c r="A510" s="6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3.2" x14ac:dyDescent="0.25">
      <c r="A511" s="6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3.2" x14ac:dyDescent="0.25">
      <c r="A512" s="6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3.2" x14ac:dyDescent="0.25">
      <c r="A513" s="6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13.2" x14ac:dyDescent="0.25">
      <c r="A514" s="6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3.2" x14ac:dyDescent="0.25">
      <c r="A515" s="6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3.2" x14ac:dyDescent="0.25">
      <c r="A516" s="6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3.2" x14ac:dyDescent="0.25">
      <c r="A517" s="6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3.2" x14ac:dyDescent="0.25">
      <c r="A518" s="6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3.2" x14ac:dyDescent="0.25">
      <c r="A519" s="6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13.2" x14ac:dyDescent="0.25">
      <c r="A520" s="6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3.2" x14ac:dyDescent="0.25">
      <c r="A521" s="6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3.2" x14ac:dyDescent="0.25">
      <c r="A522" s="6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3.2" x14ac:dyDescent="0.25">
      <c r="A523" s="6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13.2" x14ac:dyDescent="0.25">
      <c r="A524" s="6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3.2" x14ac:dyDescent="0.25">
      <c r="A525" s="6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3.2" x14ac:dyDescent="0.25">
      <c r="A526" s="6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3.2" x14ac:dyDescent="0.25">
      <c r="A527" s="6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3.2" x14ac:dyDescent="0.25">
      <c r="A528" s="6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3.2" x14ac:dyDescent="0.25">
      <c r="A529" s="6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3.2" x14ac:dyDescent="0.25">
      <c r="A530" s="6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3.2" x14ac:dyDescent="0.25">
      <c r="A531" s="6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13.2" x14ac:dyDescent="0.25">
      <c r="A532" s="6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3.2" x14ac:dyDescent="0.25">
      <c r="A533" s="6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3.2" x14ac:dyDescent="0.25">
      <c r="A534" s="6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3.2" x14ac:dyDescent="0.25">
      <c r="A535" s="6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3.2" x14ac:dyDescent="0.25">
      <c r="A536" s="6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3.2" x14ac:dyDescent="0.25">
      <c r="A537" s="6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3.2" x14ac:dyDescent="0.25">
      <c r="A538" s="6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13.2" x14ac:dyDescent="0.25">
      <c r="A539" s="6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3.2" x14ac:dyDescent="0.25">
      <c r="A540" s="6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3.2" x14ac:dyDescent="0.25">
      <c r="A541" s="6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13.2" x14ac:dyDescent="0.25">
      <c r="A542" s="6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3.2" x14ac:dyDescent="0.25">
      <c r="A543" s="6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13.2" x14ac:dyDescent="0.25">
      <c r="A544" s="6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13.2" x14ac:dyDescent="0.25">
      <c r="A545" s="6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3.2" x14ac:dyDescent="0.25">
      <c r="A546" s="6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3.2" x14ac:dyDescent="0.25">
      <c r="A547" s="6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3.2" x14ac:dyDescent="0.25">
      <c r="A548" s="6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3.2" x14ac:dyDescent="0.25">
      <c r="A549" s="6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3.2" x14ac:dyDescent="0.25">
      <c r="A550" s="6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3.2" x14ac:dyDescent="0.25">
      <c r="A551" s="6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13.2" x14ac:dyDescent="0.25">
      <c r="A552" s="6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3.2" x14ac:dyDescent="0.25">
      <c r="A553" s="6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1:44" ht="13.2" x14ac:dyDescent="0.25">
      <c r="A554" s="6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1:44" ht="13.2" x14ac:dyDescent="0.25">
      <c r="A555" s="6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3.2" x14ac:dyDescent="0.25">
      <c r="A556" s="6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3.2" x14ac:dyDescent="0.25">
      <c r="A557" s="6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3.2" x14ac:dyDescent="0.25">
      <c r="A558" s="6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3.2" x14ac:dyDescent="0.25">
      <c r="A559" s="6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3.2" x14ac:dyDescent="0.25">
      <c r="A560" s="6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3.2" x14ac:dyDescent="0.25">
      <c r="A561" s="6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3.2" x14ac:dyDescent="0.25">
      <c r="A562" s="6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13.2" x14ac:dyDescent="0.25">
      <c r="A563" s="6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3.2" x14ac:dyDescent="0.25">
      <c r="A564" s="6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3.2" x14ac:dyDescent="0.25">
      <c r="A565" s="6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3.2" x14ac:dyDescent="0.25">
      <c r="A566" s="6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3.2" x14ac:dyDescent="0.25">
      <c r="A567" s="6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3.2" x14ac:dyDescent="0.25">
      <c r="A568" s="6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3.2" x14ac:dyDescent="0.25">
      <c r="A569" s="6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3.2" x14ac:dyDescent="0.25">
      <c r="A570" s="6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3.2" x14ac:dyDescent="0.25">
      <c r="A571" s="6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3.2" x14ac:dyDescent="0.25">
      <c r="A572" s="6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13.2" x14ac:dyDescent="0.25">
      <c r="A573" s="6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13.2" x14ac:dyDescent="0.25">
      <c r="A574" s="6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3.2" x14ac:dyDescent="0.25">
      <c r="A575" s="6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3.2" x14ac:dyDescent="0.25">
      <c r="A576" s="6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3.2" x14ac:dyDescent="0.25">
      <c r="A577" s="6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3.2" x14ac:dyDescent="0.25">
      <c r="A578" s="6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13.2" x14ac:dyDescent="0.25">
      <c r="A579" s="6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3.2" x14ac:dyDescent="0.25">
      <c r="A580" s="6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13.2" x14ac:dyDescent="0.25">
      <c r="A581" s="6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3.2" x14ac:dyDescent="0.25">
      <c r="A582" s="6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3.2" x14ac:dyDescent="0.25">
      <c r="A583" s="6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13.2" x14ac:dyDescent="0.25">
      <c r="A584" s="6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3.2" x14ac:dyDescent="0.25">
      <c r="A585" s="6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3.2" x14ac:dyDescent="0.25">
      <c r="A586" s="6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3.2" x14ac:dyDescent="0.25">
      <c r="A587" s="6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3.2" x14ac:dyDescent="0.25">
      <c r="A588" s="6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3.2" x14ac:dyDescent="0.25">
      <c r="A589" s="6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3.2" x14ac:dyDescent="0.25">
      <c r="A590" s="6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3.2" x14ac:dyDescent="0.25">
      <c r="A591" s="6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3.2" x14ac:dyDescent="0.25">
      <c r="A592" s="6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3.2" x14ac:dyDescent="0.25">
      <c r="A593" s="6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3.2" x14ac:dyDescent="0.25">
      <c r="A594" s="6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3.2" x14ac:dyDescent="0.25">
      <c r="A595" s="6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13.2" x14ac:dyDescent="0.25">
      <c r="A596" s="6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3.2" x14ac:dyDescent="0.25">
      <c r="A597" s="6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3.2" x14ac:dyDescent="0.25">
      <c r="A598" s="6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3.2" x14ac:dyDescent="0.25">
      <c r="A599" s="6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13.2" x14ac:dyDescent="0.25">
      <c r="A600" s="6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3.2" x14ac:dyDescent="0.25">
      <c r="A601" s="6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3.2" x14ac:dyDescent="0.25">
      <c r="A602" s="6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3.2" x14ac:dyDescent="0.25">
      <c r="A603" s="6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3.2" x14ac:dyDescent="0.25">
      <c r="A604" s="6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13.2" x14ac:dyDescent="0.25">
      <c r="A605" s="6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3.2" x14ac:dyDescent="0.25">
      <c r="A606" s="6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3.2" x14ac:dyDescent="0.25">
      <c r="A607" s="6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3.2" x14ac:dyDescent="0.25">
      <c r="A608" s="6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3.2" x14ac:dyDescent="0.25">
      <c r="A609" s="6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13.2" x14ac:dyDescent="0.25">
      <c r="A610" s="6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3.2" x14ac:dyDescent="0.25">
      <c r="A611" s="6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3.2" x14ac:dyDescent="0.25">
      <c r="A612" s="6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3.2" x14ac:dyDescent="0.25">
      <c r="A613" s="6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3.2" x14ac:dyDescent="0.25">
      <c r="A614" s="6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13.2" x14ac:dyDescent="0.25">
      <c r="A615" s="6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3.2" x14ac:dyDescent="0.25">
      <c r="A616" s="6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3.2" x14ac:dyDescent="0.25">
      <c r="A617" s="6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13.2" x14ac:dyDescent="0.25">
      <c r="A618" s="6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3.2" x14ac:dyDescent="0.25">
      <c r="A619" s="6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3.2" x14ac:dyDescent="0.25">
      <c r="A620" s="6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3.2" x14ac:dyDescent="0.25">
      <c r="A621" s="6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3.2" x14ac:dyDescent="0.25">
      <c r="A622" s="6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13.2" x14ac:dyDescent="0.25">
      <c r="A623" s="6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3.2" x14ac:dyDescent="0.25">
      <c r="A624" s="6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3.2" x14ac:dyDescent="0.25">
      <c r="A625" s="6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3.2" x14ac:dyDescent="0.25">
      <c r="A626" s="6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3.2" x14ac:dyDescent="0.25">
      <c r="A627" s="6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3.2" x14ac:dyDescent="0.25">
      <c r="A628" s="6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13.2" x14ac:dyDescent="0.25">
      <c r="A629" s="6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3.2" x14ac:dyDescent="0.25">
      <c r="A630" s="6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3.2" x14ac:dyDescent="0.25">
      <c r="A631" s="6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3.2" x14ac:dyDescent="0.25">
      <c r="A632" s="6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3.2" x14ac:dyDescent="0.25">
      <c r="A633" s="6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3.2" x14ac:dyDescent="0.25">
      <c r="A634" s="6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13.2" x14ac:dyDescent="0.25">
      <c r="A635" s="6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3.2" x14ac:dyDescent="0.25">
      <c r="A636" s="6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3.2" x14ac:dyDescent="0.25">
      <c r="A637" s="6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3.2" x14ac:dyDescent="0.25">
      <c r="A638" s="6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3.2" x14ac:dyDescent="0.25">
      <c r="A639" s="6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3.2" x14ac:dyDescent="0.25">
      <c r="A640" s="6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3.2" x14ac:dyDescent="0.25">
      <c r="A641" s="6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3.2" x14ac:dyDescent="0.25">
      <c r="A642" s="6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13.2" x14ac:dyDescent="0.25">
      <c r="A643" s="6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3.2" x14ac:dyDescent="0.25">
      <c r="A644" s="6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3.2" x14ac:dyDescent="0.25">
      <c r="A645" s="6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3.2" x14ac:dyDescent="0.25">
      <c r="A646" s="6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3.2" x14ac:dyDescent="0.25">
      <c r="A647" s="6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3.2" x14ac:dyDescent="0.25">
      <c r="A648" s="6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3.2" x14ac:dyDescent="0.25">
      <c r="A649" s="6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3.2" x14ac:dyDescent="0.25">
      <c r="A650" s="6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3.2" x14ac:dyDescent="0.25">
      <c r="A651" s="6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3.2" x14ac:dyDescent="0.25">
      <c r="A652" s="6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3.2" x14ac:dyDescent="0.25">
      <c r="A653" s="6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3.2" x14ac:dyDescent="0.25">
      <c r="A654" s="6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3.2" x14ac:dyDescent="0.25">
      <c r="A655" s="6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3.2" x14ac:dyDescent="0.25">
      <c r="A656" s="6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13.2" x14ac:dyDescent="0.25">
      <c r="A657" s="6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3.2" x14ac:dyDescent="0.25">
      <c r="A658" s="6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3.2" x14ac:dyDescent="0.25">
      <c r="A659" s="6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3.2" x14ac:dyDescent="0.25">
      <c r="A660" s="6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13.2" x14ac:dyDescent="0.25">
      <c r="A661" s="6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3.2" x14ac:dyDescent="0.25">
      <c r="A662" s="6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3.2" x14ac:dyDescent="0.25">
      <c r="A663" s="6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3.2" x14ac:dyDescent="0.25">
      <c r="A664" s="6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13.2" x14ac:dyDescent="0.25">
      <c r="A665" s="6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13.2" x14ac:dyDescent="0.25">
      <c r="A666" s="6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3.2" x14ac:dyDescent="0.25">
      <c r="A667" s="6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13.2" x14ac:dyDescent="0.25">
      <c r="A668" s="6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3.2" x14ac:dyDescent="0.25">
      <c r="A669" s="6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3.2" x14ac:dyDescent="0.25">
      <c r="A670" s="6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3.2" x14ac:dyDescent="0.25">
      <c r="A671" s="6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3.2" x14ac:dyDescent="0.25">
      <c r="A672" s="6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 spans="1:44" ht="13.2" x14ac:dyDescent="0.25">
      <c r="A673" s="6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 spans="1:44" ht="13.2" x14ac:dyDescent="0.25">
      <c r="A674" s="6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 spans="1:44" ht="13.2" x14ac:dyDescent="0.25">
      <c r="A675" s="6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 spans="1:44" ht="13.2" x14ac:dyDescent="0.25">
      <c r="A676" s="6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 spans="1:44" ht="13.2" x14ac:dyDescent="0.25">
      <c r="A677" s="6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 spans="1:44" ht="13.2" x14ac:dyDescent="0.25">
      <c r="A678" s="6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 spans="1:44" ht="13.2" x14ac:dyDescent="0.25">
      <c r="A679" s="6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 spans="1:44" ht="13.2" x14ac:dyDescent="0.25">
      <c r="A680" s="6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 spans="1:44" ht="13.2" x14ac:dyDescent="0.25">
      <c r="A681" s="6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 spans="1:44" ht="13.2" x14ac:dyDescent="0.25">
      <c r="A682" s="6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 spans="1:44" ht="13.2" x14ac:dyDescent="0.25">
      <c r="A683" s="6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 spans="1:44" ht="13.2" x14ac:dyDescent="0.25">
      <c r="A684" s="6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 spans="1:44" ht="13.2" x14ac:dyDescent="0.25">
      <c r="A685" s="6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 spans="1:44" ht="13.2" x14ac:dyDescent="0.25">
      <c r="A686" s="6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 spans="1:44" ht="13.2" x14ac:dyDescent="0.25">
      <c r="A687" s="6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 spans="1:44" ht="13.2" x14ac:dyDescent="0.25">
      <c r="A688" s="6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 spans="1:44" ht="13.2" x14ac:dyDescent="0.25">
      <c r="A689" s="6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 spans="1:44" ht="13.2" x14ac:dyDescent="0.25">
      <c r="A690" s="6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 spans="1:44" ht="13.2" x14ac:dyDescent="0.25">
      <c r="A691" s="6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 spans="1:44" ht="13.2" x14ac:dyDescent="0.25">
      <c r="A692" s="6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 spans="1:44" ht="13.2" x14ac:dyDescent="0.25">
      <c r="A693" s="6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 spans="1:44" ht="13.2" x14ac:dyDescent="0.25">
      <c r="A694" s="6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 spans="1:44" ht="13.2" x14ac:dyDescent="0.25">
      <c r="A695" s="6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 spans="1:44" ht="13.2" x14ac:dyDescent="0.25">
      <c r="A696" s="6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 spans="1:44" ht="13.2" x14ac:dyDescent="0.25">
      <c r="A697" s="6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 spans="1:44" ht="13.2" x14ac:dyDescent="0.25">
      <c r="A698" s="6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 spans="1:44" ht="13.2" x14ac:dyDescent="0.25">
      <c r="A699" s="6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 spans="1:44" ht="13.2" x14ac:dyDescent="0.25">
      <c r="A700" s="6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 spans="1:44" ht="13.2" x14ac:dyDescent="0.25">
      <c r="A701" s="6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 spans="1:44" ht="13.2" x14ac:dyDescent="0.25">
      <c r="A702" s="6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 spans="1:44" ht="13.2" x14ac:dyDescent="0.25">
      <c r="A703" s="6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 spans="1:44" ht="13.2" x14ac:dyDescent="0.25">
      <c r="A704" s="6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 spans="1:44" ht="13.2" x14ac:dyDescent="0.25">
      <c r="A705" s="6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 spans="1:44" ht="13.2" x14ac:dyDescent="0.25">
      <c r="A706" s="6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 spans="1:44" ht="13.2" x14ac:dyDescent="0.25">
      <c r="A707" s="6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 spans="1:44" ht="13.2" x14ac:dyDescent="0.25">
      <c r="A708" s="6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 spans="1:44" ht="13.2" x14ac:dyDescent="0.25">
      <c r="A709" s="6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 spans="1:44" ht="13.2" x14ac:dyDescent="0.25">
      <c r="A710" s="6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 spans="1:44" ht="13.2" x14ac:dyDescent="0.25">
      <c r="A711" s="6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 spans="1:44" ht="13.2" x14ac:dyDescent="0.25">
      <c r="A712" s="6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 spans="1:44" ht="13.2" x14ac:dyDescent="0.25">
      <c r="A713" s="6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 spans="1:44" ht="13.2" x14ac:dyDescent="0.25">
      <c r="A714" s="6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 spans="1:44" ht="13.2" x14ac:dyDescent="0.25">
      <c r="A715" s="6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 spans="1:44" ht="13.2" x14ac:dyDescent="0.25">
      <c r="A716" s="6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 spans="1:44" ht="13.2" x14ac:dyDescent="0.25">
      <c r="A717" s="6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 spans="1:44" ht="13.2" x14ac:dyDescent="0.25">
      <c r="A718" s="6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 spans="1:44" ht="13.2" x14ac:dyDescent="0.25">
      <c r="A719" s="6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 spans="1:44" ht="13.2" x14ac:dyDescent="0.25">
      <c r="A720" s="6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 spans="1:44" ht="13.2" x14ac:dyDescent="0.25">
      <c r="A721" s="6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 spans="1:44" ht="13.2" x14ac:dyDescent="0.25">
      <c r="A722" s="6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 spans="1:44" ht="13.2" x14ac:dyDescent="0.25">
      <c r="A723" s="6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 spans="1:44" ht="13.2" x14ac:dyDescent="0.25">
      <c r="A724" s="6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 spans="1:44" ht="13.2" x14ac:dyDescent="0.25">
      <c r="A725" s="6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 spans="1:44" ht="13.2" x14ac:dyDescent="0.25">
      <c r="A726" s="6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 spans="1:44" ht="13.2" x14ac:dyDescent="0.25">
      <c r="A727" s="6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 spans="1:44" ht="13.2" x14ac:dyDescent="0.25">
      <c r="A728" s="6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 spans="1:44" ht="13.2" x14ac:dyDescent="0.25">
      <c r="A729" s="6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 spans="1:44" ht="13.2" x14ac:dyDescent="0.25">
      <c r="A730" s="6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 spans="1:44" ht="13.2" x14ac:dyDescent="0.25">
      <c r="A731" s="6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 spans="1:44" ht="13.2" x14ac:dyDescent="0.25">
      <c r="A732" s="6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 spans="1:44" ht="13.2" x14ac:dyDescent="0.25">
      <c r="A733" s="6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 spans="1:44" ht="13.2" x14ac:dyDescent="0.25">
      <c r="A734" s="6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 spans="1:44" ht="13.2" x14ac:dyDescent="0.25">
      <c r="A735" s="6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 spans="1:44" ht="13.2" x14ac:dyDescent="0.25">
      <c r="A736" s="6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 spans="1:44" ht="13.2" x14ac:dyDescent="0.25">
      <c r="A737" s="6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 spans="1:44" ht="13.2" x14ac:dyDescent="0.25">
      <c r="A738" s="6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 spans="1:44" ht="13.2" x14ac:dyDescent="0.25">
      <c r="A739" s="6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 spans="1:44" ht="13.2" x14ac:dyDescent="0.25">
      <c r="A740" s="6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 spans="1:44" ht="13.2" x14ac:dyDescent="0.25">
      <c r="A741" s="6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 spans="1:44" ht="13.2" x14ac:dyDescent="0.25">
      <c r="A742" s="6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 spans="1:44" ht="13.2" x14ac:dyDescent="0.25">
      <c r="A743" s="6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 spans="1:44" ht="13.2" x14ac:dyDescent="0.25">
      <c r="A744" s="6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 spans="1:44" ht="13.2" x14ac:dyDescent="0.25">
      <c r="A745" s="6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 spans="1:44" ht="13.2" x14ac:dyDescent="0.25">
      <c r="A746" s="6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 spans="1:44" ht="13.2" x14ac:dyDescent="0.25">
      <c r="A747" s="6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 spans="1:44" ht="13.2" x14ac:dyDescent="0.25">
      <c r="A748" s="6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 spans="1:44" ht="13.2" x14ac:dyDescent="0.25">
      <c r="A749" s="6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 spans="1:44" ht="13.2" x14ac:dyDescent="0.25">
      <c r="A750" s="6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 spans="1:44" ht="13.2" x14ac:dyDescent="0.25">
      <c r="A751" s="6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 spans="1:44" ht="13.2" x14ac:dyDescent="0.25">
      <c r="A752" s="6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 spans="1:44" ht="13.2" x14ac:dyDescent="0.25">
      <c r="A753" s="6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 spans="1:44" ht="13.2" x14ac:dyDescent="0.25">
      <c r="A754" s="6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 spans="1:44" ht="13.2" x14ac:dyDescent="0.25">
      <c r="A755" s="6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 spans="1:44" ht="13.2" x14ac:dyDescent="0.25">
      <c r="A756" s="6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 spans="1:44" ht="13.2" x14ac:dyDescent="0.25">
      <c r="A757" s="6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 spans="1:44" ht="13.2" x14ac:dyDescent="0.25">
      <c r="A758" s="6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 spans="1:44" ht="13.2" x14ac:dyDescent="0.25">
      <c r="A759" s="6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 spans="1:44" ht="13.2" x14ac:dyDescent="0.25">
      <c r="A760" s="6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 spans="1:44" ht="13.2" x14ac:dyDescent="0.25">
      <c r="A761" s="6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 spans="1:44" ht="13.2" x14ac:dyDescent="0.25">
      <c r="A762" s="6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 spans="1:44" ht="13.2" x14ac:dyDescent="0.25">
      <c r="A763" s="6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 spans="1:44" ht="13.2" x14ac:dyDescent="0.25">
      <c r="A764" s="6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 spans="1:44" ht="13.2" x14ac:dyDescent="0.25">
      <c r="A765" s="6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 spans="1:44" ht="13.2" x14ac:dyDescent="0.25">
      <c r="A766" s="6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 spans="1:44" ht="13.2" x14ac:dyDescent="0.25">
      <c r="A767" s="6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 spans="1:44" ht="13.2" x14ac:dyDescent="0.25">
      <c r="A768" s="6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 spans="1:44" ht="13.2" x14ac:dyDescent="0.25">
      <c r="A769" s="6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 spans="1:44" ht="13.2" x14ac:dyDescent="0.25">
      <c r="A770" s="6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 spans="1:44" ht="13.2" x14ac:dyDescent="0.25">
      <c r="A771" s="6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 spans="1:44" ht="13.2" x14ac:dyDescent="0.25">
      <c r="A772" s="6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 spans="1:44" ht="13.2" x14ac:dyDescent="0.25">
      <c r="A773" s="6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 spans="1:44" ht="13.2" x14ac:dyDescent="0.25">
      <c r="A774" s="6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1:44" ht="13.2" x14ac:dyDescent="0.25">
      <c r="A775" s="6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 spans="1:44" ht="13.2" x14ac:dyDescent="0.25">
      <c r="A776" s="6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 spans="1:44" ht="13.2" x14ac:dyDescent="0.25">
      <c r="A777" s="6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 spans="1:44" ht="13.2" x14ac:dyDescent="0.25">
      <c r="A778" s="6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 spans="1:44" ht="13.2" x14ac:dyDescent="0.25">
      <c r="A779" s="6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 spans="1:44" ht="13.2" x14ac:dyDescent="0.25">
      <c r="A780" s="6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 spans="1:44" ht="13.2" x14ac:dyDescent="0.25">
      <c r="A781" s="6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 spans="1:44" ht="13.2" x14ac:dyDescent="0.25">
      <c r="A782" s="6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 spans="1:44" ht="13.2" x14ac:dyDescent="0.25">
      <c r="A783" s="6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 spans="1:44" ht="13.2" x14ac:dyDescent="0.25">
      <c r="A784" s="6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 spans="1:44" ht="13.2" x14ac:dyDescent="0.25">
      <c r="A785" s="6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 spans="1:44" ht="13.2" x14ac:dyDescent="0.25">
      <c r="A786" s="6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 spans="1:44" ht="13.2" x14ac:dyDescent="0.25">
      <c r="A787" s="6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 spans="1:44" ht="13.2" x14ac:dyDescent="0.25">
      <c r="A788" s="6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 spans="1:44" ht="13.2" x14ac:dyDescent="0.25">
      <c r="A789" s="6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 spans="1:44" ht="13.2" x14ac:dyDescent="0.25">
      <c r="A790" s="6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 spans="1:44" ht="13.2" x14ac:dyDescent="0.25">
      <c r="A791" s="6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 spans="1:44" ht="13.2" x14ac:dyDescent="0.25">
      <c r="A792" s="6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 spans="1:44" ht="13.2" x14ac:dyDescent="0.25">
      <c r="A793" s="6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 spans="1:44" ht="13.2" x14ac:dyDescent="0.25">
      <c r="A794" s="6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 spans="1:44" ht="13.2" x14ac:dyDescent="0.25">
      <c r="A795" s="6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 spans="1:44" ht="13.2" x14ac:dyDescent="0.25">
      <c r="A796" s="6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 spans="1:44" ht="13.2" x14ac:dyDescent="0.25">
      <c r="A797" s="6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 spans="1:44" ht="13.2" x14ac:dyDescent="0.25">
      <c r="A798" s="6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 spans="1:44" ht="13.2" x14ac:dyDescent="0.25">
      <c r="A799" s="6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 spans="1:44" ht="13.2" x14ac:dyDescent="0.25">
      <c r="A800" s="6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 spans="1:44" ht="13.2" x14ac:dyDescent="0.25">
      <c r="A801" s="6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 spans="1:44" ht="13.2" x14ac:dyDescent="0.25">
      <c r="A802" s="6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 spans="1:44" ht="13.2" x14ac:dyDescent="0.25">
      <c r="A803" s="6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 spans="1:44" ht="13.2" x14ac:dyDescent="0.25">
      <c r="A804" s="6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 spans="1:44" ht="13.2" x14ac:dyDescent="0.25">
      <c r="A805" s="6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 spans="1:44" ht="13.2" x14ac:dyDescent="0.25">
      <c r="A806" s="6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 spans="1:44" ht="13.2" x14ac:dyDescent="0.25">
      <c r="A807" s="6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 spans="1:44" ht="13.2" x14ac:dyDescent="0.25">
      <c r="A808" s="6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 spans="1:44" ht="13.2" x14ac:dyDescent="0.25">
      <c r="A809" s="6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 spans="1:44" ht="13.2" x14ac:dyDescent="0.25">
      <c r="A810" s="6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 spans="1:44" ht="13.2" x14ac:dyDescent="0.25">
      <c r="A811" s="6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 spans="1:44" ht="13.2" x14ac:dyDescent="0.25">
      <c r="A812" s="6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 spans="1:44" ht="13.2" x14ac:dyDescent="0.25">
      <c r="A813" s="6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 spans="1:44" ht="13.2" x14ac:dyDescent="0.25">
      <c r="A814" s="6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 spans="1:44" ht="13.2" x14ac:dyDescent="0.25">
      <c r="A815" s="6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 spans="1:44" ht="13.2" x14ac:dyDescent="0.25">
      <c r="A816" s="6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 spans="1:44" ht="13.2" x14ac:dyDescent="0.25">
      <c r="A817" s="6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 spans="1:44" ht="13.2" x14ac:dyDescent="0.25">
      <c r="A818" s="6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 spans="1:44" ht="13.2" x14ac:dyDescent="0.25">
      <c r="A819" s="6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 spans="1:44" ht="13.2" x14ac:dyDescent="0.25">
      <c r="A820" s="6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 spans="1:44" ht="13.2" x14ac:dyDescent="0.25">
      <c r="A821" s="6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 spans="1:44" ht="13.2" x14ac:dyDescent="0.25">
      <c r="A822" s="6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 spans="1:44" ht="13.2" x14ac:dyDescent="0.25">
      <c r="A823" s="6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 spans="1:44" ht="13.2" x14ac:dyDescent="0.25">
      <c r="A824" s="6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 spans="1:44" ht="13.2" x14ac:dyDescent="0.25">
      <c r="A825" s="6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 spans="1:44" ht="13.2" x14ac:dyDescent="0.25">
      <c r="A826" s="6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 spans="1:44" ht="13.2" x14ac:dyDescent="0.25">
      <c r="A827" s="6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 spans="1:44" ht="13.2" x14ac:dyDescent="0.25">
      <c r="A828" s="6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 spans="1:44" ht="13.2" x14ac:dyDescent="0.25">
      <c r="A829" s="6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 spans="1:44" ht="13.2" x14ac:dyDescent="0.25">
      <c r="A830" s="6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 spans="1:44" ht="13.2" x14ac:dyDescent="0.25">
      <c r="A831" s="6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 spans="1:44" ht="13.2" x14ac:dyDescent="0.25">
      <c r="A832" s="6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 spans="1:44" ht="13.2" x14ac:dyDescent="0.25">
      <c r="A833" s="6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 spans="1:44" ht="13.2" x14ac:dyDescent="0.25">
      <c r="A834" s="6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 spans="1:44" ht="13.2" x14ac:dyDescent="0.25">
      <c r="A835" s="6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 spans="1:44" ht="13.2" x14ac:dyDescent="0.25">
      <c r="A836" s="6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 spans="1:44" ht="13.2" x14ac:dyDescent="0.25">
      <c r="A837" s="6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 spans="1:44" ht="13.2" x14ac:dyDescent="0.25">
      <c r="A838" s="6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 spans="1:44" ht="13.2" x14ac:dyDescent="0.25">
      <c r="A839" s="6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 spans="1:44" ht="13.2" x14ac:dyDescent="0.25">
      <c r="A840" s="6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 spans="1:44" ht="13.2" x14ac:dyDescent="0.25">
      <c r="A841" s="6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 spans="1:44" ht="13.2" x14ac:dyDescent="0.25">
      <c r="A842" s="6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 spans="1:44" ht="13.2" x14ac:dyDescent="0.25">
      <c r="A843" s="6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 spans="1:44" ht="13.2" x14ac:dyDescent="0.25">
      <c r="A844" s="6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 spans="1:44" ht="13.2" x14ac:dyDescent="0.25">
      <c r="A845" s="6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 spans="1:44" ht="13.2" x14ac:dyDescent="0.25">
      <c r="A846" s="6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 spans="1:44" ht="13.2" x14ac:dyDescent="0.25">
      <c r="A847" s="6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 spans="1:44" ht="13.2" x14ac:dyDescent="0.25">
      <c r="A848" s="6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 spans="1:44" ht="13.2" x14ac:dyDescent="0.25">
      <c r="A849" s="6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 spans="1:44" ht="13.2" x14ac:dyDescent="0.25">
      <c r="A850" s="6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 spans="1:44" ht="13.2" x14ac:dyDescent="0.25">
      <c r="A851" s="6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 spans="1:44" ht="13.2" x14ac:dyDescent="0.25">
      <c r="A852" s="6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 spans="1:44" ht="13.2" x14ac:dyDescent="0.25">
      <c r="A853" s="6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 spans="1:44" ht="13.2" x14ac:dyDescent="0.25">
      <c r="A854" s="6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 spans="1:44" ht="13.2" x14ac:dyDescent="0.25">
      <c r="A855" s="6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 spans="1:44" ht="13.2" x14ac:dyDescent="0.25">
      <c r="A856" s="6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 spans="1:44" ht="13.2" x14ac:dyDescent="0.25">
      <c r="A857" s="6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 spans="1:44" ht="13.2" x14ac:dyDescent="0.25">
      <c r="A858" s="6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 spans="1:44" ht="13.2" x14ac:dyDescent="0.25">
      <c r="A859" s="6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 spans="1:44" ht="13.2" x14ac:dyDescent="0.25">
      <c r="A860" s="6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 spans="1:44" ht="13.2" x14ac:dyDescent="0.25">
      <c r="A861" s="6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 spans="1:44" ht="13.2" x14ac:dyDescent="0.25">
      <c r="A862" s="6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 spans="1:44" ht="13.2" x14ac:dyDescent="0.25">
      <c r="A863" s="6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 spans="1:44" ht="13.2" x14ac:dyDescent="0.25">
      <c r="A864" s="6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 spans="1:44" ht="13.2" x14ac:dyDescent="0.25">
      <c r="A865" s="6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 spans="1:44" ht="13.2" x14ac:dyDescent="0.25">
      <c r="A866" s="6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 spans="1:44" ht="13.2" x14ac:dyDescent="0.25">
      <c r="A867" s="6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 spans="1:44" ht="13.2" x14ac:dyDescent="0.25">
      <c r="A868" s="6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 spans="1:44" ht="13.2" x14ac:dyDescent="0.25">
      <c r="A869" s="6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 spans="1:44" ht="13.2" x14ac:dyDescent="0.25">
      <c r="A870" s="6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 spans="1:44" ht="13.2" x14ac:dyDescent="0.25">
      <c r="A871" s="6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 spans="1:44" ht="13.2" x14ac:dyDescent="0.25">
      <c r="A872" s="6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 spans="1:44" ht="13.2" x14ac:dyDescent="0.25">
      <c r="A873" s="6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 spans="1:44" ht="13.2" x14ac:dyDescent="0.25">
      <c r="A874" s="6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 spans="1:44" ht="13.2" x14ac:dyDescent="0.25">
      <c r="A875" s="6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 spans="1:44" ht="13.2" x14ac:dyDescent="0.25">
      <c r="A876" s="6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 spans="1:44" ht="13.2" x14ac:dyDescent="0.25">
      <c r="A877" s="6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 spans="1:44" ht="13.2" x14ac:dyDescent="0.25">
      <c r="A878" s="6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 spans="1:44" ht="13.2" x14ac:dyDescent="0.25">
      <c r="A879" s="6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 spans="1:44" ht="13.2" x14ac:dyDescent="0.25">
      <c r="A880" s="6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 spans="1:44" ht="13.2" x14ac:dyDescent="0.25">
      <c r="A881" s="6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 spans="1:44" ht="13.2" x14ac:dyDescent="0.25">
      <c r="A882" s="6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 spans="1:44" ht="13.2" x14ac:dyDescent="0.25">
      <c r="A883" s="6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 spans="1:44" ht="13.2" x14ac:dyDescent="0.25">
      <c r="A884" s="6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 spans="1:44" ht="13.2" x14ac:dyDescent="0.25">
      <c r="A885" s="6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 spans="1:44" ht="13.2" x14ac:dyDescent="0.25">
      <c r="A886" s="6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 spans="1:44" ht="13.2" x14ac:dyDescent="0.25">
      <c r="A887" s="6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 spans="1:44" ht="13.2" x14ac:dyDescent="0.25">
      <c r="A888" s="6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 spans="1:44" ht="13.2" x14ac:dyDescent="0.25">
      <c r="A889" s="6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 spans="1:44" ht="13.2" x14ac:dyDescent="0.25">
      <c r="A890" s="6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 spans="1:44" ht="13.2" x14ac:dyDescent="0.25">
      <c r="A891" s="6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 spans="1:44" ht="13.2" x14ac:dyDescent="0.25">
      <c r="A892" s="6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 spans="1:44" ht="13.2" x14ac:dyDescent="0.25">
      <c r="A893" s="6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 spans="1:44" ht="13.2" x14ac:dyDescent="0.25">
      <c r="A894" s="6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 spans="1:44" ht="13.2" x14ac:dyDescent="0.25">
      <c r="A895" s="6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 spans="1:44" ht="13.2" x14ac:dyDescent="0.25">
      <c r="A896" s="6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 spans="1:44" ht="13.2" x14ac:dyDescent="0.25">
      <c r="A897" s="6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 spans="1:44" ht="13.2" x14ac:dyDescent="0.25">
      <c r="A898" s="6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 spans="1:44" ht="13.2" x14ac:dyDescent="0.25">
      <c r="A899" s="6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 spans="1:44" ht="13.2" x14ac:dyDescent="0.25">
      <c r="A900" s="6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CHIRAL Content</cp:lastModifiedBy>
  <dcterms:modified xsi:type="dcterms:W3CDTF">2024-02-08T15:52:06Z</dcterms:modified>
</cp:coreProperties>
</file>